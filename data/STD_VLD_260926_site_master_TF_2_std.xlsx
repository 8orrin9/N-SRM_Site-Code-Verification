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eokjjeong\Downloads\"/>
    </mc:Choice>
  </mc:AlternateContent>
  <xr:revisionPtr revIDLastSave="0" documentId="13_ncr:1_{6E2272AC-EE63-4B40-92B3-C5591FBFC4E1}" xr6:coauthVersionLast="47" xr6:coauthVersionMax="47" xr10:uidLastSave="{00000000-0000-0000-0000-000000000000}"/>
  <bookViews>
    <workbookView xWindow="-120" yWindow="17880" windowWidth="29040" windowHeight="17520" activeTab="1" xr2:uid="{00000000-000D-0000-FFFF-FFFF00000000}"/>
  </bookViews>
  <sheets>
    <sheet name="TF_std" sheetId="2" r:id="rId1"/>
    <sheet name="TF_std_2" sheetId="1" r:id="rId2"/>
  </sheets>
  <definedNames>
    <definedName name="_xlnm._FilterDatabase" localSheetId="0" hidden="1">TF_std!$A$1:$M$1</definedName>
    <definedName name="_xlnm._FilterDatabase" localSheetId="1" hidden="1">TF_std_2!$A$1:$X$39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7" i="1" l="1"/>
  <c r="AA16" i="1"/>
  <c r="AA15" i="1"/>
  <c r="AA14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3" i="1"/>
  <c r="A4" i="1"/>
  <c r="A5" i="1"/>
  <c r="A6" i="1"/>
  <c r="A7" i="1"/>
  <c r="A8" i="1"/>
  <c r="A9" i="1"/>
  <c r="A2" i="1"/>
  <c r="R4" i="2"/>
  <c r="R3" i="2"/>
  <c r="R2" i="2"/>
  <c r="R1" i="2"/>
</calcChain>
</file>

<file path=xl/sharedStrings.xml><?xml version="1.0" encoding="utf-8"?>
<sst xmlns="http://schemas.openxmlformats.org/spreadsheetml/2006/main" count="1493" uniqueCount="508">
  <si>
    <t>업체명 (Eng)</t>
  </si>
  <si>
    <t>국가/지역</t>
  </si>
  <si>
    <t>행정구역</t>
  </si>
  <si>
    <t>주소</t>
  </si>
  <si>
    <t>위도</t>
  </si>
  <si>
    <t>경도</t>
  </si>
  <si>
    <t>STD 업체명</t>
  </si>
  <si>
    <t>STD 주소</t>
  </si>
  <si>
    <t>표준화</t>
  </si>
  <si>
    <t>분류 코드</t>
  </si>
  <si>
    <t>비고</t>
  </si>
  <si>
    <t>표준 위도</t>
  </si>
  <si>
    <t>표준 경도</t>
  </si>
  <si>
    <t>place_id</t>
  </si>
  <si>
    <t>참조 URL</t>
  </si>
  <si>
    <t>addressComponents</t>
  </si>
  <si>
    <t>AUTO SENSOR KOREA</t>
  </si>
  <si>
    <t>KR:한국</t>
  </si>
  <si>
    <t>09:Gyeonggi-do</t>
  </si>
  <si>
    <t>경기도 수원시 영통구 중부대로448번길 97</t>
  </si>
  <si>
    <t>37.2664485</t>
  </si>
  <si>
    <t>127.0594727</t>
  </si>
  <si>
    <t>South Korea, Gyeonggi-do, Suwon, Yeongtong-gu, 원천동 471</t>
  </si>
  <si>
    <t>검증 완료</t>
  </si>
  <si>
    <t>VERIFIED_GEOCODE_PROXIMITY</t>
  </si>
  <si>
    <t>표준·기존 좌표 정합, 표준좌표 TextSearch 매칭(정밀좌표 근접 POI 수용: 업체명 표기 상이)</t>
  </si>
  <si>
    <t>37.266449</t>
  </si>
  <si>
    <t>127.059473</t>
  </si>
  <si>
    <t>ChIJAxmMAv5CezURpfyPu_dSeXU</t>
  </si>
  <si>
    <t>[{"types": ["premise"], "long_text": "471", "short_text": "471", "language_code": "en-US", "source_api": "places_new"}, {"types": ["sublocality_level_2", "sublocality", "political"], "long_text": "원천동", "short_text": "원천동", "language_code": "ko", "source_api": "places_new"}, {"types": ["sublocality_level_1", "sublocality", "political"], "long_text": "Yeongtong-gu", "short_text": "Yeongtong-gu", "language_code": "en", "source_api": "places_new"}, {"types": ["locality", "political"], "long_text": "Suwon", "short_text": "Suwon", "language_code": "ko-Latn", "source_api": "places_new"}, {"types": ["administrative_area_level_1", "political"], "long_text": "Gyeonggi-do", "short_text": "Gyeonggi-do", "language_code": "en", "source_api": "places_new"}, {"types": ["country", "political"], "long_text": "South Korea", "short_text": "KR", "language_code": "en", "source_api": "places_new"}, {"types": ["postal_code"], "long_text": "16521", "short_text": "16521", "language_code": "en-US", "source_api": "places_new"}]</t>
  </si>
  <si>
    <t>HANA TECH</t>
  </si>
  <si>
    <t>13:Seoul</t>
  </si>
  <si>
    <t>서울특별시 서초구 양재동 302-3</t>
  </si>
  <si>
    <t>37.4743262</t>
  </si>
  <si>
    <t>127.04531</t>
  </si>
  <si>
    <t>확인 필요</t>
  </si>
  <si>
    <t>UNVERIFIED_NOT_FOUND</t>
  </si>
  <si>
    <t>표준·기존 좌표는 정합하나 TextSearch에서 업체 미발견</t>
  </si>
  <si>
    <t>37.474326</t>
  </si>
  <si>
    <t>127.045310</t>
  </si>
  <si>
    <t>[{"types": ["premise"], "long_text": "302-3", "short_text": "302-3", "language_code": null, "source_api": "geocoding"}, {"types": ["political", "sublocality", "sublocality_level_2"], "long_text": "Yangjae-dong", "short_text": "Yangjae-dong", "language_code": null, "source_api": "geocoding"}, {"types": ["political", "sublocality", "sublocality_level_1"], "long_text": "Seocho District", "short_text": "Seocho District", "language_code": null, "source_api": "geocoding"}, {"types": ["administrative_area_level_1", "political"], "long_text": "Seoul", "short_text": "Seoul", "language_code": null, "source_api": "geocoding"}, {"types": ["country", "political"], "long_text": "South Korea", "short_text": "KR", "language_code": null, "source_api": "geocoding"}, {"types": ["postal_code"], "long_text": "06781", "short_text": "06781", "language_code": null, "source_api": "geocoding"}]</t>
  </si>
  <si>
    <t>Suzhou Kematek, Inc.</t>
  </si>
  <si>
    <t>CN:중국</t>
  </si>
  <si>
    <t>100:Jiangsu</t>
  </si>
  <si>
    <t>31.4</t>
  </si>
  <si>
    <t>120.17</t>
  </si>
  <si>
    <t>Suzhou Kematek</t>
  </si>
  <si>
    <t>VERIFIED_COORD_DIRECT</t>
  </si>
  <si>
    <t>지오코딩이 도시레벨(부정확)이라 위치비교 생략, 기존좌표 TextSearch 매칭</t>
  </si>
  <si>
    <t>31.362200</t>
  </si>
  <si>
    <t>120.415390</t>
  </si>
  <si>
    <t>ChIJmegxpsmdszURxrpKRCsOcA8</t>
  </si>
  <si>
    <t>APO(INDIUM CORPORATION OF AMERICA)</t>
  </si>
  <si>
    <t>SG:싱가포르</t>
  </si>
  <si>
    <t>99:Singapore (General)</t>
  </si>
  <si>
    <t>Unnamed Road, Singapore, Singapore</t>
  </si>
  <si>
    <t>1.26332535748932</t>
  </si>
  <si>
    <t>103.875732421875</t>
  </si>
  <si>
    <t>APO(INDIUM ORATION OF AMERICA)</t>
  </si>
  <si>
    <t>Singapore</t>
  </si>
  <si>
    <t>표준·기존 좌표 모두 TextSearch에서 업체 미발견</t>
  </si>
  <si>
    <t>1.352083</t>
  </si>
  <si>
    <t>103.819836</t>
  </si>
  <si>
    <t>[{"types": ["country", "political"], "long_text": "Singapore", "short_text": "SG", "language_code": null, "source_api": "geocoding"}]</t>
  </si>
  <si>
    <t>Samutsakorn</t>
  </si>
  <si>
    <t>TH:태국</t>
  </si>
  <si>
    <t>58:Samut Sakhon</t>
  </si>
  <si>
    <t>13.5758798065832</t>
  </si>
  <si>
    <t>100.333531977028</t>
  </si>
  <si>
    <t>13.575960</t>
  </si>
  <si>
    <t>100.336368</t>
  </si>
  <si>
    <t>Mattson Technology</t>
  </si>
  <si>
    <t>010:Beijing</t>
  </si>
  <si>
    <t>Jing Hai Qu, Tian Jin Shi, China, 301609</t>
  </si>
  <si>
    <t>38.94858178451374</t>
  </si>
  <si>
    <t>116.974683552156</t>
  </si>
  <si>
    <t>47131 Bayside Pkwy, Fremont, CA 94538, USA</t>
  </si>
  <si>
    <t>37.475363</t>
  </si>
  <si>
    <t>-121.937337</t>
  </si>
  <si>
    <t>ChIJB3kfDDfGj4ARv8RvYZKoPVg</t>
  </si>
  <si>
    <t>[{"types": ["street_number"], "long_text": "47131", "short_text": "47131", "language_code": "en-US", "source_api": "places_new"}, {"types": ["route"], "long_text": "Bayside Parkway", "short_text": "Bayside Pkwy", "language_code": "en", "source_api": "places_new"}, {"types": ["neighborhood", "political"], "long_text": "Baylands", "short_text": "Baylands", "language_code": "en", "source_api": "places_new"}, {"types": ["locality", "political"], "long_text": "Fremont", "short_text": "Fremont", "language_code": "en", "source_api": "places_new"}, {"types": ["administrative_area_level_2", "political"], "long_text": "Alameda County", "short_text": "Alameda County", "language_code": "en", "source_api": "places_new"}, {"types": ["administrative_area_level_1", "political"], "long_text": "California", "short_text": "CA", "language_code": "en", "source_api": "places_new"}, {"types": ["country", "political"], "long_text": "United States", "short_text": "US", "language_code": "en", "source_api": "places_new"}, {"types": ["postal_code"], "long_text": "94538", "short_text": "94538", "language_code": "en-US", "source_api": "places_new"}, {"types": ["postal_code_suffix"], "long_text": "6517", "short_text": "6517", "language_code": "en-US", "source_api": "places_new"}]</t>
  </si>
  <si>
    <t>Gu Xuan</t>
  </si>
  <si>
    <t>250:Shaanxi</t>
  </si>
  <si>
    <t>34.430609</t>
  </si>
  <si>
    <t>108.806889</t>
  </si>
  <si>
    <t>7RVP+4JH, Xi An Gao Jia Kuai Su Gan Dao, Wei Yang Qu, Xi An Shi, Shan Xi Sheng, China, 710086</t>
  </si>
  <si>
    <t>기존좌표 기준 TextSearch 매칭</t>
  </si>
  <si>
    <t>34.292820</t>
  </si>
  <si>
    <t>108.836599</t>
  </si>
  <si>
    <t>ChIJ-UHemVx4YzYRZJii3fXq4B0</t>
  </si>
  <si>
    <t>[{"types": ["plus_code"], "long_text": "7RVP+4JH", "short_text": "7RVP+4JH", "language_code": "en-US", "source_api": "places_new"}, {"types": ["route"], "long_text": "Xi An Gao Jia Kuai Su Gan Dao", "short_text": "Xi An Gao Jia Kuai Su Gan Dao", "language_code": "zh-Latn", "source_api": "places_new"}, {"types": ["sublocality_level_1", "sublocality", "political"], "long_text": "Wei Yang Qu", "short_text": "Wei Yang Qu", "language_code": "zh-Latn", "source_api": "places_new"}, {"types": ["locality", "political"], "long_text": "Xi An Shi", "short_text": "Xi An Shi", "language_code": "zh-Latn", "source_api": "places_new"}, {"types": ["administrative_area_level_1", "political"], "long_text": "Shan Xi Sheng", "short_text": "Shan Xi Sheng", "language_code": "zh-Latn", "source_api": "places_new"}, {"types": ["country", "political"], "long_text": "China", "short_text": "CN", "language_code": "en", "source_api": "places_new"}, {"types": ["postal_code"], "long_text": "710086", "short_text": "710086", "language_code": "en-US", "source_api": "places_new"}]</t>
  </si>
  <si>
    <t>Honeywell Automation and Control Solution(China) Co.,Ltd.</t>
  </si>
  <si>
    <t>020:Shanghai</t>
  </si>
  <si>
    <t>FUTE NORTH ROAD NO.456 5F A2 ROOM SHANGHAI PILOT FREE TRADE ZONE</t>
  </si>
  <si>
    <t>31.089126813768</t>
  </si>
  <si>
    <t>121.940074704927</t>
  </si>
  <si>
    <t>Honeywell Automation and Control Solution(China)</t>
  </si>
  <si>
    <t>Shanghai, China</t>
  </si>
  <si>
    <t>31.230416</t>
  </si>
  <si>
    <t>121.473701</t>
  </si>
  <si>
    <t>[{"types": ["locality", "political"], "long_text": "Shanghai", "short_text": "Shanghai", "language_code": null, "source_api": "geocoding"}, {"types": ["administrative_area_level_1", "political"], "long_text": "Shanghai", "short_text": "Shanghai", "language_code": null, "source_api": "geocoding"}, {"types": ["country", "political"], "long_text": "China", "short_text": "CN", "language_code": null, "source_api": "geocoding"}]</t>
  </si>
  <si>
    <t>CINOS(CX1,CX2)</t>
  </si>
  <si>
    <t>34.395799</t>
  </si>
  <si>
    <t>109.074973</t>
  </si>
  <si>
    <t>34.396238</t>
  </si>
  <si>
    <t>109.076148</t>
  </si>
  <si>
    <t>제일써보테크</t>
  </si>
  <si>
    <t>경기도 부천시 도당동 255-1</t>
  </si>
  <si>
    <t>37.5091393</t>
  </si>
  <si>
    <t>126.7846143</t>
  </si>
  <si>
    <t>255-1 Dodang-dong, Bucheon, Gyeonggi-do, South Korea</t>
  </si>
  <si>
    <t>37.509139</t>
  </si>
  <si>
    <t>126.784614</t>
  </si>
  <si>
    <t>[{"types": ["premise"], "long_text": "255-1", "short_text": "255-1", "language_code": null, "source_api": "geocoding"}, {"types": ["political", "sublocality", "sublocality_level_2"], "long_text": "Dodang-dong", "short_text": "Dodang-dong", "language_code": null, "source_api": "geocoding"}, {"types": ["locality", "political"], "long_text": "Bucheon", "short_text": "Bucheon", "language_code": null, "source_api": "geocoding"}, {"types": ["administrative_area_level_1", "political"], "long_text": "Gyeonggi-do", "short_text": "Gyeonggi-do", "language_code": null, "source_api": "geocoding"}, {"types": ["country", "political"], "long_text": "South Korea", "short_text": "KR", "language_code": null, "source_api": "geocoding"}, {"types": ["postal_code"], "long_text": "14524", "short_text": "14524", "language_code": null, "source_api": "geocoding"}]</t>
  </si>
  <si>
    <t>대한민국 경기도 화성시 방교동 801</t>
  </si>
  <si>
    <t>37.165313662862</t>
  </si>
  <si>
    <t>127.083885829268</t>
  </si>
  <si>
    <t>EHWA DiamEHWA Diamond Industrial</t>
  </si>
  <si>
    <t>801 Banggyo-dong, Hwaseong-si, Gyeonggi-do, South Korea</t>
  </si>
  <si>
    <t>UNVERIFIED_PLACEID_MISMATCH</t>
  </si>
  <si>
    <t>표준·기존 좌표에서 서로 다른 업체 발견 → 동명이업체/위치오류 의심(두 후보 제시)</t>
  </si>
  <si>
    <t>37.165757</t>
  </si>
  <si>
    <t>127.084305</t>
  </si>
  <si>
    <t>[{"types": ["premise"], "long_text": "801", "short_text": "801", "language_code": null, "source_api": "geocoding"}, {"types": ["political", "sublocality", "sublocality_level_2"], "long_text": "Banggyo-dong", "short_text": "Banggyo-dong", "language_code": null, "source_api": "geocoding"}, {"types": ["locality", "political"], "long_text": "Hwaseong-si", "short_text": "Hwaseong-si", "language_code": null, "source_api": "geocoding"}, {"types": ["administrative_area_level_1", "political"], "long_text": "Gyeonggi-do", "short_text": "Gyeonggi-do", "language_code": null, "source_api": "geocoding"}, {"types": ["country", "political"], "long_text": "South Korea", "short_text": "KR", "language_code": null, "source_api": "geocoding"}, {"types": ["postal_code"], "long_text": "18487", "short_text": "18487", "language_code": null, "source_api": "geocoding"}, {"types": ["premise"], "long_text": "10", "short_text": "10", "language_code": "en-US", "source_api": "places_new"}, {"types": ["sublocality_level_4", "sublocality", "political"], "long_text": "Dongtansandan 3-gil", "short_text": "Dongtansandan 3-gil", "language_code": "en", "source_api": "places_new"}, {"types": ["sublocality_level_2", "sublocality", "political"], "long_text": "동탄면", "short_text": "동탄면", "language_code": "ko", "source_api": "places_new"}, {"types": ["locality", "political"], "long_text": "Hwaseong-si", "short_text": "Hwaseong-si", "language_code": "en", "source_api": "places_new"}, {"types": ["administrative_area_level_1", "political"], "long_text": "Gyeonggi-do", "short_text": "Gyeonggi-do", "language_code": "en", "source_api": "places_new"}, {"types": ["country", "political"], "long_text": "South Korea", "short_text": "KR", "language_code": "en", "source_api": "places_new"}, {"types": ["postal_code"], "long_text": "18487", "short_text": "18487", "language_code": "en-US", "source_api": "places_new"}]</t>
  </si>
  <si>
    <t>Air Liquide Electronics US LP</t>
  </si>
  <si>
    <t>US:미합중국</t>
  </si>
  <si>
    <t>US_99</t>
  </si>
  <si>
    <t>PO BOX 200269 HOUSTON TX</t>
  </si>
  <si>
    <t>40.1742465094527</t>
  </si>
  <si>
    <t>-74.7703792317304</t>
  </si>
  <si>
    <t>197 Meister Ave, Branchburg, NJ 08876, USA</t>
  </si>
  <si>
    <t>40.606052</t>
  </si>
  <si>
    <t>-74.715034</t>
  </si>
  <si>
    <t>ChIJwclNyROTw4kRbAlL-Y9a5H8</t>
  </si>
  <si>
    <t>[{"types": ["street_number"], "long_text": "197", "short_text": "197", "language_code": "en-US", "source_api": "places_new"}, {"types": ["route"], "long_text": "Meister Avenue", "short_text": "Meister Ave", "language_code": "en", "source_api": "places_new"}, {"types": ["locality", "political"], "long_text": "Branchburg", "short_text": "Branchburg", "language_code": "en", "source_api": "places_new"}, {"types": ["administrative_area_level_2", "political"], "long_text": "Somerset County", "short_text": "Somerset County", "language_code": "en", "source_api": "places_new"}, {"types": ["administrative_area_level_1", "political"], "long_text": "New Jersey", "short_text": "NJ", "language_code": "en", "source_api": "places_new"}, {"types": ["country", "political"], "long_text": "United States", "short_text": "US", "language_code": "en", "source_api": "places_new"}, {"types": ["postal_code"], "long_text": "08876", "short_text": "08876", "language_code": "en-US", "source_api": "places_new"}, {"types": ["postal_code_suffix"], "long_text": "6022", "short_text": "6022", "language_code": "en-US", "source_api": "places_new"}]</t>
  </si>
  <si>
    <t>Entegris Malaysia Sdn Bhd</t>
  </si>
  <si>
    <t>MY:말레이시아</t>
  </si>
  <si>
    <t>KED:Kedah</t>
  </si>
  <si>
    <t>CHV7+63 Lunas, Kedah, 말레이시아</t>
  </si>
  <si>
    <t>5.44304220161746</t>
  </si>
  <si>
    <t>100.562630683701</t>
  </si>
  <si>
    <t>CHV7+63 Lunas, Kedah, Malaysia</t>
  </si>
  <si>
    <t>5.443062</t>
  </si>
  <si>
    <t>100.562687</t>
  </si>
  <si>
    <t>[{"types": ["plus_code"], "long_text": "CHV7+63", "short_text": "CHV7+63", "language_code": null, "source_api": "geocoding"}, {"types": ["locality", "political"], "long_text": "Lunas", "short_text": "Lunas", "language_code": null, "source_api": "geocoding"}, {"types": ["administrative_area_level_1", "political"], "long_text": "Kedah", "short_text": "Kedah", "language_code": null, "source_api": "geocoding"}, {"types": ["country", "political"], "long_text": "Malaysia", "short_text": "MY", "language_code": null, "source_api": "geocoding"}]</t>
  </si>
  <si>
    <t>JUHUA</t>
  </si>
  <si>
    <t>130:Zhejiang</t>
  </si>
  <si>
    <t>28.8993915855368</t>
  </si>
  <si>
    <t>118.906831741333</t>
  </si>
  <si>
    <t>VERIFIED_GEOCODE_DIRECT</t>
  </si>
  <si>
    <t>표준·기존 좌표 정합, 표준좌표 TextSearch 매칭</t>
  </si>
  <si>
    <t>28.899387</t>
  </si>
  <si>
    <t>118.906859</t>
  </si>
  <si>
    <t>ChIJTYNXlKUxSDQRQyp-LcKW_c0</t>
  </si>
  <si>
    <t>[{"types": ["plus_code"], "long_text": "VVXX+JGF", "short_text": "VVXX+JGF", "language_code": "en-US", "source_api": "places_new"}, {"types": ["route"], "long_text": "中央道", "short_text": "中央道", "language_code": "zh", "source_api": "places_new"}, {"types": ["sublocality_level_1", "sublocality", "political"], "long_text": "Ke Cheng Qu", "short_text": "Ke Cheng Qu", "language_code": "zh-Latn", "source_api": "places_new"}, {"types": ["locality", "political"], "long_text": "Qu Zhou Shi", "short_text": "Qu Zhou Shi", "language_code": "zh-Latn", "source_api": "places_new"}, {"types": ["administrative_area_level_1", "political"], "long_text": "Zhe Jiang Sheng", "short_text": "Zhe Jiang Sheng", "language_code": "zh-Latn", "source_api": "places_new"}, {"types": ["country", "political"], "long_text": "China", "short_text": "CN", "language_code": "en", "source_api": "places_new"}, {"types": ["postal_code"], "long_text": "324004", "short_text": "324004", "language_code": "en-US", "source_api": "places_new"}]</t>
  </si>
  <si>
    <t>28.9047566017496</t>
  </si>
  <si>
    <t>118.880123498853</t>
  </si>
  <si>
    <t>28.904812</t>
  </si>
  <si>
    <t>118.880062</t>
  </si>
  <si>
    <t>99:China (General)</t>
  </si>
  <si>
    <t>WV35+WMH, Weiyi Road, Ke Cheng Qu, Qu Zhou Shi, Zhe Jiang Sheng, China, 324012</t>
  </si>
  <si>
    <t>28.9039264106275</t>
  </si>
  <si>
    <t>118.858596258575</t>
  </si>
  <si>
    <t>Wei Yi Lu, China, 324012</t>
  </si>
  <si>
    <t>28.907207</t>
  </si>
  <si>
    <t>118.854349</t>
  </si>
  <si>
    <t>[{"types": ["route"], "long_text": "Wei Yi Lu", "short_text": "Wei Yi Lu", "language_code": null, "source_api": "geocoding"}, {"types": ["country", "political"], "long_text": "China", "short_text": "CN", "language_code": null, "source_api": "geocoding"}, {"types": ["postal_code"], "long_text": "324012", "short_text": "324012", "language_code": null, "source_api": "geocoding"}, {"types": ["plus_code"], "long_text": "VVXX+JGF", "short_text": "VVXX+JGF", "language_code": "en-US", "source_api": "places_new"}, {"types": ["route"], "long_text": "中央道", "short_text": "中央道", "language_code": "zh", "source_api": "places_new"}, {"types": ["sublocality_level_1", "sublocality", "political"], "long_text": "Ke Cheng Qu", "short_text": "Ke Cheng Qu", "language_code": "zh-Latn", "source_api": "places_new"}, {"types": ["locality", "political"], "long_text": "Qu Zhou Shi", "short_text": "Qu Zhou Shi", "language_code": "zh-Latn", "source_api": "places_new"}, {"types": ["administrative_area_level_1", "political"], "long_text": "Zhe Jiang Sheng", "short_text": "Zhe Jiang Sheng", "language_code": "zh-Latn", "source_api": "places_new"}, {"types": ["country", "political"], "long_text": "China", "short_text": "CN", "language_code": "en", "source_api": "places_new"}, {"types": ["postal_code"], "long_text": "324004", "short_text": "324004", "language_code": "en-US", "source_api": "places_new"}]</t>
  </si>
  <si>
    <t>CINOS(C4)</t>
  </si>
  <si>
    <t>대한민국 경기도 화성시 향남읍 구문천리 929-2</t>
  </si>
  <si>
    <t>37.0856062749302</t>
  </si>
  <si>
    <t>126.899728529744</t>
  </si>
  <si>
    <t>929-2 Gumuncheon-ri, Hyangnam-eup, Hwaseong-si, Gyeonggi-do, South Korea</t>
  </si>
  <si>
    <t>37.085472</t>
  </si>
  <si>
    <t>126.900052</t>
  </si>
  <si>
    <t>ChIJ83c4KwAXezURJ2oNR5ylGaY</t>
  </si>
  <si>
    <t>[{"types": ["sublocality_level_3", "sublocality", "political"], "long_text": "Gumuncheon-ri", "short_text": "Gumuncheon-ri", "language_code": "en", "source_api": "places_new"}, {"types": ["sublocality_level_2", "sublocality", "political"], "long_text": "Hyangnam-eup", "short_text": "Hyangnam-eup", "language_code": "en", "source_api": "places_new"}, {"types": ["locality", "political"], "long_text": "Hwaseong-si", "short_text": "Hwaseong-si", "language_code": "en", "source_api": "places_new"}, {"types": ["country", "political"], "long_text": "South Korea", "short_text": "KR", "language_code": "en", "source_api": "places_new"}, {"types": ["postal_code"], "long_text": "18623", "short_text": "18623", "language_code": "en-US", "source_api": "places_new"}]</t>
  </si>
  <si>
    <t>CINOS(C1)</t>
  </si>
  <si>
    <t>대한민국 경기도 화성시 팔탄면 가재리 299-2</t>
  </si>
  <si>
    <t>37.15742051436</t>
  </si>
  <si>
    <t>126.926484489249</t>
  </si>
  <si>
    <t>299-2 Gajae-ri, Paltan-myeon, Hwaseong-si, Gyeonggi-do, South Korea</t>
  </si>
  <si>
    <t>37.157271</t>
  </si>
  <si>
    <t>126.926767</t>
  </si>
  <si>
    <t>[{"types": ["premise"], "long_text": "299-2", "short_text": "299-2", "language_code": null, "source_api": "geocoding"}, {"types": ["political", "sublocality", "sublocality_level_3"], "long_text": "Gajae-ri", "short_text": "Gajae-ri", "language_code": null, "source_api": "geocoding"}, {"types": ["political", "sublocality", "sublocality_level_2"], "long_text": "Paltan-myeon", "short_text": "Paltan-myeon", "language_code": null, "source_api": "geocoding"}, {"types": ["locality", "political"], "long_text": "Hwaseong-si", "short_text": "Hwaseong-si", "language_code": null, "source_api": "geocoding"}, {"types": ["administrative_area_level_1", "political"], "long_text": "Gyeonggi-do", "short_text": "Gyeonggi-do", "language_code": null, "source_api": "geocoding"}, {"types": ["country", "political"], "long_text": "South Korea", "short_text": "KR", "language_code": null, "source_api": "geocoding"}, {"types": ["postal_code"], "long_text": "18533", "short_text": "18533", "language_code": null, "source_api": "geocoding"}]</t>
  </si>
  <si>
    <t>Solstice Electronic Materials - Spokane</t>
  </si>
  <si>
    <t>US_WA</t>
  </si>
  <si>
    <t>47.6845972</t>
  </si>
  <si>
    <t>-117.1981099</t>
  </si>
  <si>
    <t>Pasadena, CA, USA</t>
  </si>
  <si>
    <t>34.147653</t>
  </si>
  <si>
    <t>-118.144302</t>
  </si>
  <si>
    <t>[{"types": ["locality", "political"], "long_text": "Pasadena", "short_text": "Pasadena", "language_code": null, "source_api": "geocoding"}, {"types": ["administrative_area_level_2", "political"], "long_text": "Los Angeles County", "short_text": "Los Angeles County", "language_code": null, "source_api": "geocoding"}, {"types": ["administrative_area_level_1", "political"], "long_text": "California", "short_text": "CA", "language_code": null, "source_api": "geocoding"}, {"types": ["country", "political"], "long_text": "United States", "short_text": "US", "language_code": null, "source_api": "geocoding"}]</t>
  </si>
  <si>
    <t>CW QUERETARO MEXICO SA DE CV</t>
  </si>
  <si>
    <t>MX:멕시코</t>
  </si>
  <si>
    <t>MX_QRO</t>
  </si>
  <si>
    <t>RHH5+52, El Puerto, Querétaro, Mexico, 76215</t>
  </si>
  <si>
    <t>20.8279801318248</t>
  </si>
  <si>
    <t>-100.442426784886</t>
  </si>
  <si>
    <t>RHH5+52 Querétaro, Mexico</t>
  </si>
  <si>
    <t>20.827938</t>
  </si>
  <si>
    <t>-100.442437</t>
  </si>
  <si>
    <t>[{"types": ["plus_code"], "long_text": "RHH5+52", "short_text": "RHH5+52", "language_code": null, "source_api": "geocoding"}, {"types": ["administrative_area_level_1", "political"], "long_text": "Querétaro", "short_text": "Qro.", "language_code": null, "source_api": "geocoding"}, {"types": ["country", "political"], "long_text": "Mexico", "short_text": "MX", "language_code": null, "source_api": "geocoding"}, {"types": ["postal_code"], "long_text": "76215", "short_text": "76215", "language_code": null, "source_api": "geocoding"}]</t>
  </si>
  <si>
    <t>Perdana Highway, Kampung Sungai Seluang, Lunas, Kedah, Malaysia, 09600</t>
  </si>
  <si>
    <t>5.44230396180864</t>
  </si>
  <si>
    <t>100.563611984253</t>
  </si>
  <si>
    <t>Lbh Perdana, Kampung Sungai Seluang, Lunas, Kedah, Malaysia</t>
  </si>
  <si>
    <t>5.438351</t>
  </si>
  <si>
    <t>100.565467</t>
  </si>
  <si>
    <t>[{"types": ["route"], "long_text": "Lebuhraya Perdana", "short_text": "Lbh Perdana", "language_code": null, "source_api": "geocoding"}, {"types": ["political", "sublocality", "sublocality_level_1"], "long_text": "Kampung Sungai Seluang", "short_text": "Kampung Sungai Seluang", "language_code": null, "source_api": "geocoding"}, {"types": ["locality", "political"], "long_text": "Lunas", "short_text": "Lunas", "language_code": null, "source_api": "geocoding"}, {"types": ["administrative_area_level_1", "political"], "long_text": "Kedah", "short_text": "Kedah", "language_code": null, "source_api": "geocoding"}, {"types": ["country", "political"], "long_text": "Malaysia", "short_text": "MY", "language_code": null, "source_api": "geocoding"}, {"types": [], "long_text": "Lot 17, Fasa 1 Kulim Hi-Tech Park, Kedah", "short_text": "", "language_code": "en", "source_api": "places_new"}, {"types": ["sublocality_level_1", "sublocality", "political"], "long_text": "Taman Kulim Hi-tech", "short_text": "Taman Kulim Hi-tech", "language_code": "en", "source_api": "places_new"}, {"types": ["locality", "political"], "long_text": "Kulim", "short_text": "Kulim", "language_code": "en", "source_api": "places_new"}, {"types": ["administrative_area_level_1", "political"], "long_text": "Kedah", "short_text": "Kedah", "language_code": "en", "source_api": "places_new"}, {"types": ["country", "political"], "long_text": "Malaysia", "short_text": "MY", "language_code": "en", "source_api": "places_new"}, {"types": ["postal_code"], "long_text": "09000", "short_text": "09000", "language_code": "en-US", "source_api": "places_new"}]</t>
  </si>
  <si>
    <t>SUZHOU NOBORT ELECTRONICS EQUIPMENT LIMITED COMPANY</t>
  </si>
  <si>
    <t>8Q9C+R6W, Xinghua Street, Wu Zhong Qu, Su Zhou Shi, Jiang Su Sheng, China, 215121</t>
  </si>
  <si>
    <t>31.3195538601286</t>
  </si>
  <si>
    <t>120.770886170445</t>
  </si>
  <si>
    <t>Xing Hua Jie, Wu Zhong Qu, Su Zhou Shi, China, 215121</t>
  </si>
  <si>
    <t>31.330170</t>
  </si>
  <si>
    <t>120.768180</t>
  </si>
  <si>
    <t>[{"types": ["route"], "long_text": "Xing Hua Jie", "short_text": "Xing Hua Jie", "language_code": null, "source_api": "geocoding"}, {"types": ["political", "sublocality", "sublocality_level_1"], "long_text": "Wu Zhong Qu", "short_text": "Wu Zhong Qu", "language_code": null, "source_api": "geocoding"}, {"types": ["locality", "political"], "long_text": "Su Zhou Shi", "short_text": "Su Zhou Shi", "language_code": null, "source_api": "geocoding"}, {"types": ["country", "political"], "long_text": "China", "short_text": "CN", "language_code": null, "source_api": "geocoding"}, {"types": ["postal_code"], "long_text": "215121", "short_text": "215121", "language_code": null, "source_api": "geocoding"}, {"types": ["street_number"], "long_text": "34", "short_text": "34", "language_code": "en-US", "source_api": "places_new"}, {"types": ["route"], "long_text": "Jin Hai Lu", "short_text": "Jin Hai Lu", "language_code": "zh-Latn", "source_api": "places_new"}, {"types": ["sublocality_level_1", "sublocality", "political"], "long_text": "Wu Zhong Qu", "short_text": "Wu Zhong Qu", "language_code": "zh-Latn", "source_api": "places_new"}, {"types": ["locality", "political"], "long_text": "Su Zhou Shi", "short_text": "Su Zhou Shi", "language_code": "zh-Latn", "source_api": "places_new"}, {"types": ["administrative_area_level_1", "political"], "long_text": "Jiang Su Sheng", "short_text": "Jiang Su Sheng", "language_code": "zh-Latn", "source_api": "places_new"}, {"types": ["country", "political"], "long_text": "China", "short_text": "CN", "language_code": "en", "source_api": "places_new"}, {"types": ["postal_code"], "long_text": "215000", "short_text": "215000", "language_code": "en-US", "source_api": "places_new"}]</t>
  </si>
  <si>
    <t>CINOS(C2)</t>
  </si>
  <si>
    <t>대한민국 경기도 화성시 향남읍 구문천리 930-17</t>
  </si>
  <si>
    <t>37.0851245062634</t>
  </si>
  <si>
    <t>126.897092549068</t>
  </si>
  <si>
    <t>930-17 Gumuncheon-ri, Hyangnam-eup, Hwaseong-si, Gyeonggi-do, South Korea</t>
  </si>
  <si>
    <t>37.085127</t>
  </si>
  <si>
    <t>126.896852</t>
  </si>
  <si>
    <t>[{"types": ["premise"], "long_text": "930-17", "short_text": "930-17", "language_code": null, "source_api": "geocoding"}, {"types": ["political", "sublocality", "sublocality_level_3"], "long_text": "Gumuncheon-ri", "short_text": "Gumuncheon-ri", "language_code": null, "source_api": "geocoding"}, {"types": ["political", "sublocality", "sublocality_level_2"], "long_text": "Hyangnam-eup", "short_text": "Hyangnam-eup", "language_code": null, "source_api": "geocoding"}, {"types": ["locality", "political"], "long_text": "Hwaseong-si", "short_text": "Hwaseong-si", "language_code": null, "source_api": "geocoding"}, {"types": ["administrative_area_level_1", "political"], "long_text": "Gyeonggi-do", "short_text": "Gyeonggi-do", "language_code": null, "source_api": "geocoding"}, {"types": ["country", "political"], "long_text": "South Korea", "short_text": "KR", "language_code": null, "source_api": "geocoding"}, {"types": ["postal_code"], "long_text": "18623", "short_text": "18623", "language_code": null, "source_api": "geocoding"}]</t>
  </si>
  <si>
    <t>SJI SAIGON</t>
  </si>
  <si>
    <t>VN:베트남</t>
  </si>
  <si>
    <t>02:HCM City</t>
  </si>
  <si>
    <t>10.954258408027</t>
  </si>
  <si>
    <t>106.867259743281</t>
  </si>
  <si>
    <t>35 Đ. Đồng Khởi, Tân Triều, Đồng Nai, Vietnam</t>
  </si>
  <si>
    <t>10.971882</t>
  </si>
  <si>
    <t>106.852692</t>
  </si>
  <si>
    <t>35 Đ. Đồng Khởi, Tân Hiệp, Biên Hòa, Đồng Nai 810000 베트남</t>
  </si>
  <si>
    <t>10.9546519</t>
  </si>
  <si>
    <t>106.8672625</t>
  </si>
  <si>
    <t>XR4R+PHW, Tran Bien, Dong Nai City, Vietnam</t>
  </si>
  <si>
    <t>10.956862</t>
  </si>
  <si>
    <t>106.841441</t>
  </si>
  <si>
    <t>[{"types": ["plus_code"], "long_text": "XR4R+PHW", "short_text": "XR4R+PHW", "language_code": null, "source_api": "geocoding"}, {"types": ["locality", "political"], "long_text": "Dong Nai City", "short_text": "Dong Nai City", "language_code": null, "source_api": "geocoding"}, {"types": ["administrative_area_level_1", "political"], "long_text": "Dong Nai City", "short_text": "Dong Nai City", "language_code": null, "source_api": "geocoding"}, {"types": ["country", "political"], "long_text": "Vietnam", "short_text": "VN", "language_code": null, "source_api": "geocoding"}]</t>
  </si>
  <si>
    <t>SEGYUNG VINA CO.,LTD</t>
  </si>
  <si>
    <t>06:Bac Ninh</t>
  </si>
  <si>
    <t>Yên Phong, Bắc Ninh, Vietnam</t>
  </si>
  <si>
    <t>21.2239961339663</t>
  </si>
  <si>
    <t>105.997148049299</t>
  </si>
  <si>
    <t>SEGYUNG VINA</t>
  </si>
  <si>
    <t>Unnamed, Road, Yên Trung, Bắc Ninh, Vietnam</t>
  </si>
  <si>
    <t>21.227118</t>
  </si>
  <si>
    <t>105.996776</t>
  </si>
  <si>
    <t>ChIJyZyNn1YPNTERIb6KZczsFVE</t>
  </si>
  <si>
    <t>[{"types": ["route"], "long_text": "Unnamed", "short_text": "Unnamed", "language_code": "vi", "source_api": "places_new"}, {"types": ["neighborhood", "political"], "long_text": "Road", "short_text": "Road", "language_code": "vi", "source_api": "places_new"}, {"types": ["locality", "political"], "long_text": "Yên Trung", "short_text": "Yên Trung", "language_code": "vi", "source_api": "places_new"}, {"types": ["administrative_area_level_1", "political"], "long_text": "Bắc Ninh", "short_text": "Bắc Ninh", "language_code": "vi", "source_api": "places_new"}, {"types": ["country", "political"], "long_text": "Vietnam", "short_text": "VN", "language_code": "en", "source_api": "places_new"}]</t>
  </si>
  <si>
    <t>SI FLEX VIETNAM CO.,LTD.</t>
  </si>
  <si>
    <t>01:Hanoi</t>
  </si>
  <si>
    <t>21.2166805114931</t>
  </si>
  <si>
    <t>106.106729507446</t>
  </si>
  <si>
    <t>SI FLEX VIETNAM</t>
  </si>
  <si>
    <t>QL1A, Vietnam</t>
  </si>
  <si>
    <t>16.394107</t>
  </si>
  <si>
    <t>107.570667</t>
  </si>
  <si>
    <t>[{"types": ["route"], "long_text": "Quốc lộ 1A", "short_text": "QL1A", "language_code": null, "source_api": "geocoding"}, {"types": ["country", "political"], "long_text": "Vietnam", "short_text": "VN", "language_code": null, "source_api": "geocoding"}, {"types": [], "long_text": "Land lot A industrial zone", "short_text": "", "language_code": "vi", "source_api": "places_new"}, {"types": ["locality", "political"], "long_text": "Nếnh", "short_text": "Nếnh", "language_code": "vi", "source_api": "places_new"}, {"types": ["administrative_area_level_1", "political"], "long_text": "Bắc Ninh", "short_text": "Bắc Ninh", "language_code": "vi", "source_api": "places_new"}, {"types": ["country", "political"], "long_text": "Vietnam", "short_text": "VN", "language_code": "en", "source_api": "places_new"}]</t>
  </si>
  <si>
    <t>150:Fujian</t>
  </si>
  <si>
    <t>QJ5G+RG Shishi, Quanzhou, Fujian, China</t>
  </si>
  <si>
    <t>24.7596035592581</t>
  </si>
  <si>
    <t>118.626255030465</t>
  </si>
  <si>
    <t>AUO (Xiamen)</t>
  </si>
  <si>
    <t>24.759563</t>
  </si>
  <si>
    <t>118.626312</t>
  </si>
  <si>
    <t>[{"types": ["plus_code"], "long_text": "QJ5G+RG", "short_text": "QJ5G+RG", "language_code": null, "source_api": "geocoding"}, {"types": ["political", "sublocality", "sublocality_level_1"], "long_text": "Shishi", "short_text": "Shishi", "language_code": null, "source_api": "geocoding"}, {"types": ["locality", "political"], "long_text": "Quanzhou", "short_text": "Quanzhou", "language_code": null, "source_api": "geocoding"}, {"types": ["administrative_area_level_1", "political"], "long_text": "Fujian", "short_text": "Fujian", "language_code": null, "source_api": "geocoding"}, {"types": ["country", "political"], "long_text": "China", "short_text": "CN", "language_code": null, "source_api": "geocoding"}]</t>
  </si>
  <si>
    <t>PSK(CHINA) CO.,Ltd.</t>
  </si>
  <si>
    <t>34.202462</t>
  </si>
  <si>
    <t>108.894008</t>
  </si>
  <si>
    <t>PSK(CHINA)</t>
  </si>
  <si>
    <t>Du Shi Zhi Men C Zuo, 小寨 Yan Ta Qu, Xi An Shi, Shan Xi Sheng, China, 710065</t>
  </si>
  <si>
    <t>34.196733</t>
  </si>
  <si>
    <t>108.887317</t>
  </si>
  <si>
    <t>[{"types": ["premise"], "long_text": "Du Shi Zhi Men C Zuo", "short_text": "Du Shi Zhi Men C Zuo", "language_code": null, "source_api": "geocoding"}, {"types": ["neighborhood", "political"], "long_text": "小寨", "short_text": "小寨", "language_code": null, "source_api": "geocoding"}, {"types": ["political", "sublocality", "sublocality_level_1"], "long_text": "Yan Ta Qu", "short_text": "Yan Ta Qu", "language_code": null, "source_api": "geocoding"}, {"types": ["locality", "political"], "long_text": "Xi An Shi", "short_text": "Xi An Shi", "language_code": null, "source_api": "geocoding"}, {"types": ["administrative_area_level_1", "political"], "long_text": "Shan Xi Sheng", "short_text": "Shan Xi Sheng", "language_code": null, "source_api": "geocoding"}, {"types": ["country", "political"], "long_text": "China", "short_text": "CN", "language_code": null, "source_api": "geocoding"}, {"types": ["postal_code"], "long_text": "710065", "short_text": "710065", "language_code": null, "source_api": "geocoding"}]</t>
  </si>
  <si>
    <t>260:Gansu</t>
  </si>
  <si>
    <t>34.57</t>
  </si>
  <si>
    <t>105.68</t>
  </si>
  <si>
    <t>Qin Zhou Da Dao, Qin Zhou Qu, Tian Shui Shi, Gan Su Sheng, China</t>
  </si>
  <si>
    <t>34.563560</t>
  </si>
  <si>
    <t>105.593670</t>
  </si>
  <si>
    <t>[{"types": ["route"], "long_text": "Qin Zhou Da Dao", "short_text": "Qin Zhou Da Dao", "language_code": null, "source_api": "geocoding"}, {"types": ["political", "sublocality", "sublocality_level_1"], "long_text": "Qin Zhou Qu", "short_text": "Qin Zhou Qu", "language_code": null, "source_api": "geocoding"}, {"types": ["locality", "political"], "long_text": "Tian Shui Shi", "short_text": "Tian Shui Shi", "language_code": null, "source_api": "geocoding"}, {"types": ["administrative_area_level_1", "political"], "long_text": "Gan Su Sheng", "short_text": "Gan Su Sheng", "language_code": null, "source_api": "geocoding"}, {"types": ["country", "political"], "long_text": "China", "short_text": "CN", "language_code": null, "source_api": "geocoding"}]</t>
  </si>
  <si>
    <t>지오코딩은 성공했으나 TextSearch(좌표·주소텍스트)에서 업체 미발견</t>
  </si>
  <si>
    <t>31.353000</t>
  </si>
  <si>
    <t>120.749550</t>
  </si>
  <si>
    <t>BOYD KOREA LLC</t>
  </si>
  <si>
    <t>04:Chungcheongbuk-do</t>
  </si>
  <si>
    <t>(Hwagye-dong)2, 2Sunhwan-ro 742beon-gil, Heungdeok-gu, Cheongju-si, Chungcheongbuk-do</t>
  </si>
  <si>
    <t>BOYD KOREA</t>
  </si>
  <si>
    <t>2 2sunhwan-ro 742beon-gil, Heungdeok-gu, Cheongju, Chungcheongbuk-do, South Korea</t>
  </si>
  <si>
    <t>지오코딩 성공, 표준좌표 기준 TextSearch 매칭</t>
  </si>
  <si>
    <t>36.656145</t>
  </si>
  <si>
    <t>127.443492</t>
  </si>
  <si>
    <t>ChIJFWasIsgpZTURvxEVwC2zlWk</t>
  </si>
  <si>
    <t>https://www.google.com/maps/place/?q=place_id:ChIJFWasIsgpZTURvxEVwC2zlWk</t>
  </si>
  <si>
    <t>[{"types": ["premise"], "long_text": "2", "short_text": "2", "language_code": "en-US", "source_api": "places_new"}, {"types": ["sublocality_level_4", "sublocality", "political"], "long_text": "2sunhwan-ro 742beon-gil", "short_text": "2sunhwan-ro 742beon-gil", "language_code": "en", "source_api": "places_new"}, {"types": ["sublocality_level_1", "sublocality", "political"], "long_text": "Heungdeok-gu", "short_text": "Heungdeok-gu", "language_code": "en", "source_api": "places_new"}, {"types": ["locality", "political"], "long_text": "Cheongju", "short_text": "Cheongju", "language_code": "ko-Latn", "source_api": "places_new"}, {"types": ["administrative_area_level_1", "political"], "long_text": "Chungcheongbuk-do", "short_text": "Chungcheongbuk-do", "language_code": "en", "source_api": "places_new"}, {"types": ["country", "political"], "long_text": "South Korea", "short_text": "KR", "language_code": "en", "source_api": "places_new"}, {"types": ["postal_code"], "long_text": "28294", "short_text": "28294", "language_code": "en-US", "source_api": "places_new"}]</t>
  </si>
  <si>
    <t>Dinnoteck Co.,Ltd.</t>
  </si>
  <si>
    <t>17:Korea(General)</t>
  </si>
  <si>
    <t>9F</t>
  </si>
  <si>
    <t>Dinnoteck</t>
  </si>
  <si>
    <t>실패</t>
  </si>
  <si>
    <t>FAILED_ALL_METHODS</t>
  </si>
  <si>
    <t>좌표 자원이 없는 상태에서 지오코딩·TextSearch 모두 실패</t>
  </si>
  <si>
    <t>SHINHAN DIAMOND(XI'AN) CO.,LTD.</t>
  </si>
  <si>
    <t>4R26+H2 중국 Shaanxi, 시안 시 창안 구</t>
  </si>
  <si>
    <t>SHINHAN DIAMOND(XI'AN)</t>
  </si>
  <si>
    <t>4R26+H2 Chang'An, Xi'An, Shaanxi, China</t>
  </si>
  <si>
    <t>34.101438</t>
  </si>
  <si>
    <t>108.810063</t>
  </si>
  <si>
    <t>[{"types": ["plus_code"], "long_text": "4R26+H2", "short_text": "4R26+H2", "language_code": null, "source_api": "geocoding"}, {"types": ["political", "sublocality", "sublocality_level_1"], "long_text": "Chang'An", "short_text": "Chang'An", "language_code": null, "source_api": "geocoding"}, {"types": ["locality", "political"], "long_text": "Xi'An", "short_text": "Xi'An", "language_code": null, "source_api": "geocoding"}, {"types": ["administrative_area_level_1", "political"], "long_text": "Shaanxi", "short_text": "Shaanxi", "language_code": null, "source_api": "geocoding"}, {"types": ["country", "political"], "long_text": "China", "short_text": "CN", "language_code": null, "source_api": "geocoding"}]</t>
  </si>
  <si>
    <t>SUZHOU POSTEL CO.,LTD</t>
  </si>
  <si>
    <t>SUZHOU POSTEL</t>
  </si>
  <si>
    <t>4 Li Da Lu, Wu Zhong Qu, Su Zhou Shi, Jiang Su Sheng, China, 215121</t>
  </si>
  <si>
    <t>31.355620</t>
  </si>
  <si>
    <t>120.749700</t>
  </si>
  <si>
    <t>[{"types": ["street_number"], "long_text": "4", "short_text": "4", "language_code": null, "source_api": "geocoding"}, {"types": ["route"], "long_text": "Li Da Lu", "short_text": "Li Da Lu", "language_code": null, "source_api": "geocoding"}, {"types": ["political", "sublocality", "sublocality_level_1"], "long_text": "Wu Zhong Qu", "short_text": "Wu Zhong Qu", "language_code": null, "source_api": "geocoding"}, {"types": ["locality", "political"], "long_text": "Su Zhou Shi", "short_text": "Su Zhou Shi", "language_code": null, "source_api": "geocoding"}, {"types": ["administrative_area_level_1", "political"], "long_text": "Jiang Su Sheng", "short_text": "Jiang Su Sheng", "language_code": null, "source_api": "geocoding"}, {"types": ["country", "political"], "long_text": "China", "short_text": "CN", "language_code": null, "source_api": "geocoding"}, {"types": ["postal_code"], "long_text": "215121", "short_text": "215121", "language_code": null, "source_api": "geocoding"}]</t>
  </si>
  <si>
    <t>LT Metal Co,.LTd.</t>
  </si>
  <si>
    <t>06:Incheon</t>
  </si>
  <si>
    <t>(Gajwa-dong) 14, Gajaeul-ro, Seohae-gu, Incheon, Korea</t>
  </si>
  <si>
    <t>LT Metal Co</t>
  </si>
  <si>
    <t>South Korea, Incheon, Seo-gu, 가좌3동 548-1</t>
  </si>
  <si>
    <t>지오코딩 성공, 표준좌표 기준 TextSearch 매칭(정밀좌표 근접 POI 수용: 업체명 표기 상이)</t>
  </si>
  <si>
    <t>37.481420</t>
  </si>
  <si>
    <t>126.675683</t>
  </si>
  <si>
    <t>ChIJuX97ykp5ezURvoBAfyo8OvE</t>
  </si>
  <si>
    <t>[{"types": ["premise"], "long_text": "548-1", "short_text": "548-1", "language_code": "en-US", "source_api": "places_new"}, {"types": ["sublocality_level_2", "sublocality", "political"], "long_text": "가좌3동", "short_text": "가좌3동", "language_code": "ko", "source_api": "places_new"}, {"types": ["sublocality_level_1", "sublocality", "political"], "long_text": "Seo-gu", "short_text": "Seo-gu", "language_code": "en", "source_api": "places_new"}, {"types": ["administrative_area_level_1", "political"], "long_text": "Incheon", "short_text": "Incheon", "language_code": "en", "source_api": "places_new"}, {"types": ["country", "political"], "long_text": "South Korea", "short_text": "KR", "language_code": "en", "source_api": "places_new"}, {"types": ["postal_code"], "long_text": "22828", "short_text": "22828", "language_code": "en-US", "source_api": "places_new"}]</t>
  </si>
  <si>
    <t>88 Wen Du Lu, Xiang Cheng Qu, Su Zhou Shi, Jiang Su Sheng, China, 215155</t>
  </si>
  <si>
    <t>31.422170</t>
  </si>
  <si>
    <t>120.442620</t>
  </si>
  <si>
    <t>ChIJyUh-z12ZszURvqkpBlxLceE</t>
  </si>
  <si>
    <t>[{"types": ["street_number"], "long_text": "88", "short_text": "88", "language_code": "en-US", "source_api": "places_new"}, {"types": ["route"], "long_text": "Wen Du Lu", "short_text": "Wen Du Lu", "language_code": "zh-Latn", "source_api": "places_new"}, {"types": ["sublocality_level_1", "sublocality", "political"], "long_text": "Xiang Cheng Qu", "short_text": "Xiang Cheng Qu", "language_code": "zh-Latn", "source_api": "places_new"}, {"types": ["locality", "political"], "long_text": "Su Zhou Shi", "short_text": "Su Zhou Shi", "language_code": "zh-Latn", "source_api": "places_new"}, {"types": ["administrative_area_level_1", "political"], "long_text": "Jiang Su Sheng", "short_text": "Jiang Su Sheng", "language_code": "zh-Latn", "source_api": "places_new"}, {"types": ["country", "political"], "long_text": "China", "short_text": "CN", "language_code": "en", "source_api": "places_new"}, {"types": ["postal_code"], "long_text": "215155", "short_text": "215155", "language_code": "en-US", "source_api": "places_new"}]</t>
  </si>
  <si>
    <t>302-3 Yangjae-dong, Seocho District, Seoul, South Korea</t>
    <phoneticPr fontId="1" type="noConversion"/>
  </si>
  <si>
    <t/>
  </si>
  <si>
    <r>
      <t>China, Su Zhou Shi, Hu Qiu Qu, CN 江</t>
    </r>
    <r>
      <rPr>
        <sz val="10"/>
        <color theme="1" tint="0.249977111117893"/>
        <rFont val="맑은 고딕"/>
        <family val="2"/>
        <scheme val="minor"/>
      </rPr>
      <t>苏</t>
    </r>
    <r>
      <rPr>
        <sz val="10"/>
        <color theme="1" tint="0.249977111117893"/>
        <rFont val="맑은 고딕"/>
        <family val="3"/>
        <charset val="129"/>
        <scheme val="minor"/>
      </rPr>
      <t xml:space="preserve">省 </t>
    </r>
    <r>
      <rPr>
        <sz val="10"/>
        <color theme="1" tint="0.249977111117893"/>
        <rFont val="맑은 고딕"/>
        <family val="2"/>
        <scheme val="minor"/>
      </rPr>
      <t>苏</t>
    </r>
    <r>
      <rPr>
        <sz val="10"/>
        <color theme="1" tint="0.249977111117893"/>
        <rFont val="맑은 고딕"/>
        <family val="3"/>
        <charset val="129"/>
        <scheme val="minor"/>
      </rPr>
      <t>州市 虎丘</t>
    </r>
    <r>
      <rPr>
        <sz val="10"/>
        <color theme="1" tint="0.249977111117893"/>
        <rFont val="맑은 고딕"/>
        <family val="2"/>
        <scheme val="minor"/>
      </rPr>
      <t>区</t>
    </r>
    <r>
      <rPr>
        <sz val="10"/>
        <color theme="1" tint="0.249977111117893"/>
        <rFont val="맑은 고딕"/>
        <family val="3"/>
        <charset val="129"/>
        <scheme val="minor"/>
      </rPr>
      <t xml:space="preserve"> 漓江路 58 58</t>
    </r>
    <r>
      <rPr>
        <sz val="10"/>
        <color theme="1" tint="0.249977111117893"/>
        <rFont val="맑은 고딕"/>
        <family val="2"/>
        <scheme val="minor"/>
      </rPr>
      <t>号苏</t>
    </r>
    <r>
      <rPr>
        <sz val="10"/>
        <color theme="1" tint="0.249977111117893"/>
        <rFont val="맑은 고딕"/>
        <family val="3"/>
        <charset val="129"/>
        <scheme val="minor"/>
      </rPr>
      <t>州科技城工</t>
    </r>
    <r>
      <rPr>
        <sz val="10"/>
        <color theme="1" tint="0.249977111117893"/>
        <rFont val="맑은 고딕"/>
        <family val="2"/>
        <scheme val="minor"/>
      </rPr>
      <t>业</t>
    </r>
    <r>
      <rPr>
        <sz val="10"/>
        <color theme="1" tint="0.249977111117893"/>
        <rFont val="맑은 고딕"/>
        <family val="3"/>
        <charset val="129"/>
        <scheme val="minor"/>
      </rPr>
      <t>坊B</t>
    </r>
    <r>
      <rPr>
        <sz val="10"/>
        <color theme="1" tint="0.249977111117893"/>
        <rFont val="맑은 고딕"/>
        <family val="2"/>
        <scheme val="minor"/>
      </rPr>
      <t>区</t>
    </r>
    <r>
      <rPr>
        <sz val="10"/>
        <color theme="1" tint="0.249977111117893"/>
        <rFont val="맑은 고딕"/>
        <family val="3"/>
        <charset val="129"/>
        <scheme val="minor"/>
      </rPr>
      <t>6</t>
    </r>
    <r>
      <rPr>
        <sz val="10"/>
        <color theme="1" tint="0.249977111117893"/>
        <rFont val="맑은 고딕"/>
        <family val="2"/>
        <scheme val="minor"/>
      </rPr>
      <t>栋</t>
    </r>
    <r>
      <rPr>
        <sz val="10"/>
        <color theme="1" tint="0.249977111117893"/>
        <rFont val="맑은 고딕"/>
        <family val="3"/>
        <charset val="129"/>
        <scheme val="minor"/>
      </rPr>
      <t xml:space="preserve"> </t>
    </r>
    <r>
      <rPr>
        <sz val="10"/>
        <color theme="1" tint="0.249977111117893"/>
        <rFont val="맑은 고딕"/>
        <family val="2"/>
        <scheme val="minor"/>
      </rPr>
      <t>邮</t>
    </r>
    <r>
      <rPr>
        <sz val="10"/>
        <color theme="1" tint="0.249977111117893"/>
        <rFont val="맑은 고딕"/>
        <family val="3"/>
        <charset val="129"/>
        <scheme val="minor"/>
      </rPr>
      <t>政</t>
    </r>
    <r>
      <rPr>
        <sz val="10"/>
        <color theme="1" tint="0.249977111117893"/>
        <rFont val="맑은 고딕"/>
        <family val="2"/>
        <scheme val="minor"/>
      </rPr>
      <t>编码</t>
    </r>
    <r>
      <rPr>
        <sz val="10"/>
        <color theme="1" tint="0.249977111117893"/>
        <rFont val="맑은 고딕"/>
        <family val="3"/>
        <charset val="129"/>
        <scheme val="minor"/>
      </rPr>
      <t>: 215163</t>
    </r>
  </si>
  <si>
    <r>
      <t>[{"types": [], "long_text": "CN 江</t>
    </r>
    <r>
      <rPr>
        <sz val="10"/>
        <color theme="1" tint="0.249977111117893"/>
        <rFont val="맑은 고딕"/>
        <family val="2"/>
        <scheme val="minor"/>
      </rPr>
      <t>苏</t>
    </r>
    <r>
      <rPr>
        <sz val="10"/>
        <color theme="1" tint="0.249977111117893"/>
        <rFont val="맑은 고딕"/>
        <family val="3"/>
        <charset val="129"/>
        <scheme val="minor"/>
      </rPr>
      <t xml:space="preserve">省 </t>
    </r>
    <r>
      <rPr>
        <sz val="10"/>
        <color theme="1" tint="0.249977111117893"/>
        <rFont val="맑은 고딕"/>
        <family val="2"/>
        <scheme val="minor"/>
      </rPr>
      <t>苏</t>
    </r>
    <r>
      <rPr>
        <sz val="10"/>
        <color theme="1" tint="0.249977111117893"/>
        <rFont val="맑은 고딕"/>
        <family val="3"/>
        <charset val="129"/>
        <scheme val="minor"/>
      </rPr>
      <t>州市 虎丘</t>
    </r>
    <r>
      <rPr>
        <sz val="10"/>
        <color theme="1" tint="0.249977111117893"/>
        <rFont val="맑은 고딕"/>
        <family val="2"/>
        <scheme val="minor"/>
      </rPr>
      <t>区</t>
    </r>
    <r>
      <rPr>
        <sz val="10"/>
        <color theme="1" tint="0.249977111117893"/>
        <rFont val="맑은 고딕"/>
        <family val="3"/>
        <charset val="129"/>
        <scheme val="minor"/>
      </rPr>
      <t xml:space="preserve"> 漓江路 58 58</t>
    </r>
    <r>
      <rPr>
        <sz val="10"/>
        <color theme="1" tint="0.249977111117893"/>
        <rFont val="맑은 고딕"/>
        <family val="2"/>
        <scheme val="minor"/>
      </rPr>
      <t>号苏</t>
    </r>
    <r>
      <rPr>
        <sz val="10"/>
        <color theme="1" tint="0.249977111117893"/>
        <rFont val="맑은 고딕"/>
        <family val="3"/>
        <charset val="129"/>
        <scheme val="minor"/>
      </rPr>
      <t>州科技城工</t>
    </r>
    <r>
      <rPr>
        <sz val="10"/>
        <color theme="1" tint="0.249977111117893"/>
        <rFont val="맑은 고딕"/>
        <family val="2"/>
        <scheme val="minor"/>
      </rPr>
      <t>业</t>
    </r>
    <r>
      <rPr>
        <sz val="10"/>
        <color theme="1" tint="0.249977111117893"/>
        <rFont val="맑은 고딕"/>
        <family val="3"/>
        <charset val="129"/>
        <scheme val="minor"/>
      </rPr>
      <t>坊B</t>
    </r>
    <r>
      <rPr>
        <sz val="10"/>
        <color theme="1" tint="0.249977111117893"/>
        <rFont val="맑은 고딕"/>
        <family val="2"/>
        <scheme val="minor"/>
      </rPr>
      <t>区</t>
    </r>
    <r>
      <rPr>
        <sz val="10"/>
        <color theme="1" tint="0.249977111117893"/>
        <rFont val="맑은 고딕"/>
        <family val="3"/>
        <charset val="129"/>
        <scheme val="minor"/>
      </rPr>
      <t>6</t>
    </r>
    <r>
      <rPr>
        <sz val="10"/>
        <color theme="1" tint="0.249977111117893"/>
        <rFont val="맑은 고딕"/>
        <family val="2"/>
        <scheme val="minor"/>
      </rPr>
      <t>栋</t>
    </r>
    <r>
      <rPr>
        <sz val="10"/>
        <color theme="1" tint="0.249977111117893"/>
        <rFont val="맑은 고딕"/>
        <family val="3"/>
        <charset val="129"/>
        <scheme val="minor"/>
      </rPr>
      <t>", "short_text": "", "language_code": "zh", "source_api": "places_new"}, {"types": ["country", "political"], "long_text": "China", "short_text": "CN", "language_code": "en", "source_api": "places_new"}, {"types": ["sublocality_level_1", "sublocality", "political"], "long_text": "Hu Qiu Qu", "short_text": "Hu Qiu Qu", "language_code": "zh-Latn", "source_api": "places_new"}, {"types": ["locality", "political"], "long_text": "Su Zhou Shi", "short_text": "Su Zhou Shi", "language_code": "zh-Latn", "source_api": "places_new"}, {"types": ["postal_code"], "long_text": "215163", "short_text": "215163", "language_code": "en-US", "source_api": "places_new"}]</t>
    </r>
  </si>
  <si>
    <r>
      <rPr>
        <sz val="10"/>
        <color theme="1" tint="0.249977111117893"/>
        <rFont val="맑은 고딕"/>
        <family val="2"/>
        <scheme val="minor"/>
      </rPr>
      <t>ถนน</t>
    </r>
    <r>
      <rPr>
        <sz val="10"/>
        <color theme="1" tint="0.249977111117893"/>
        <rFont val="맑은 고딕"/>
        <family val="3"/>
        <charset val="129"/>
        <scheme val="minor"/>
      </rPr>
      <t xml:space="preserve"> </t>
    </r>
    <r>
      <rPr>
        <sz val="10"/>
        <color theme="1" tint="0.249977111117893"/>
        <rFont val="맑은 고딕"/>
        <family val="2"/>
        <scheme val="minor"/>
      </rPr>
      <t>ศรีสุริฉัน</t>
    </r>
    <r>
      <rPr>
        <sz val="10"/>
        <color theme="1" tint="0.249977111117893"/>
        <rFont val="맑은 고딕"/>
        <family val="3"/>
        <charset val="129"/>
        <scheme val="minor"/>
      </rPr>
      <t>, Tambon Khok Kham, Amphoe Mueang Samut Sakhon, Chang Wat Samut Sakhon, Thailand, 74000</t>
    </r>
  </si>
  <si>
    <r>
      <t>[{"types": ["route"], "long_text": "</t>
    </r>
    <r>
      <rPr>
        <sz val="10"/>
        <color theme="1" tint="0.249977111117893"/>
        <rFont val="맑은 고딕"/>
        <family val="2"/>
        <scheme val="minor"/>
      </rPr>
      <t>ถนน</t>
    </r>
    <r>
      <rPr>
        <sz val="10"/>
        <color theme="1" tint="0.249977111117893"/>
        <rFont val="맑은 고딕"/>
        <family val="3"/>
        <charset val="129"/>
        <scheme val="minor"/>
      </rPr>
      <t xml:space="preserve"> </t>
    </r>
    <r>
      <rPr>
        <sz val="10"/>
        <color theme="1" tint="0.249977111117893"/>
        <rFont val="맑은 고딕"/>
        <family val="2"/>
        <scheme val="minor"/>
      </rPr>
      <t>ศรีสุริฉัน</t>
    </r>
    <r>
      <rPr>
        <sz val="10"/>
        <color theme="1" tint="0.249977111117893"/>
        <rFont val="맑은 고딕"/>
        <family val="3"/>
        <charset val="129"/>
        <scheme val="minor"/>
      </rPr>
      <t>", "short_text": "</t>
    </r>
    <r>
      <rPr>
        <sz val="10"/>
        <color theme="1" tint="0.249977111117893"/>
        <rFont val="맑은 고딕"/>
        <family val="2"/>
        <scheme val="minor"/>
      </rPr>
      <t>ถนน</t>
    </r>
    <r>
      <rPr>
        <sz val="10"/>
        <color theme="1" tint="0.249977111117893"/>
        <rFont val="맑은 고딕"/>
        <family val="3"/>
        <charset val="129"/>
        <scheme val="minor"/>
      </rPr>
      <t xml:space="preserve"> </t>
    </r>
    <r>
      <rPr>
        <sz val="10"/>
        <color theme="1" tint="0.249977111117893"/>
        <rFont val="맑은 고딕"/>
        <family val="2"/>
        <scheme val="minor"/>
      </rPr>
      <t>ศรีสุริฉัน</t>
    </r>
    <r>
      <rPr>
        <sz val="10"/>
        <color theme="1" tint="0.249977111117893"/>
        <rFont val="맑은 고딕"/>
        <family val="3"/>
        <charset val="129"/>
        <scheme val="minor"/>
      </rPr>
      <t>", "language_code": null, "source_api": "geocoding"}, {"types": ["locality", "political"], "long_text": "Tambon Khok Kham", "short_text": "</t>
    </r>
    <r>
      <rPr>
        <sz val="10"/>
        <color theme="1" tint="0.249977111117893"/>
        <rFont val="맑은 고딕"/>
        <family val="2"/>
        <scheme val="minor"/>
      </rPr>
      <t>ต</t>
    </r>
    <r>
      <rPr>
        <sz val="10"/>
        <color theme="1" tint="0.249977111117893"/>
        <rFont val="맑은 고딕"/>
        <family val="3"/>
        <charset val="129"/>
        <scheme val="minor"/>
      </rPr>
      <t>.</t>
    </r>
    <r>
      <rPr>
        <sz val="10"/>
        <color theme="1" tint="0.249977111117893"/>
        <rFont val="맑은 고딕"/>
        <family val="2"/>
        <scheme val="minor"/>
      </rPr>
      <t>โคกขาม</t>
    </r>
    <r>
      <rPr>
        <sz val="10"/>
        <color theme="1" tint="0.249977111117893"/>
        <rFont val="맑은 고딕"/>
        <family val="3"/>
        <charset val="129"/>
        <scheme val="minor"/>
      </rPr>
      <t>", "language_code": null, "source_api": "geocoding"}, {"types": ["administrative_area_level_2", "political"], "long_text": "Amphoe Mueang Samut Sakhon", "short_text": "</t>
    </r>
    <r>
      <rPr>
        <sz val="10"/>
        <color theme="1" tint="0.249977111117893"/>
        <rFont val="맑은 고딕"/>
        <family val="2"/>
        <scheme val="minor"/>
      </rPr>
      <t>อ</t>
    </r>
    <r>
      <rPr>
        <sz val="10"/>
        <color theme="1" tint="0.249977111117893"/>
        <rFont val="맑은 고딕"/>
        <family val="3"/>
        <charset val="129"/>
        <scheme val="minor"/>
      </rPr>
      <t xml:space="preserve">. </t>
    </r>
    <r>
      <rPr>
        <sz val="10"/>
        <color theme="1" tint="0.249977111117893"/>
        <rFont val="맑은 고딕"/>
        <family val="2"/>
        <scheme val="minor"/>
      </rPr>
      <t>เมือง</t>
    </r>
    <r>
      <rPr>
        <sz val="10"/>
        <color theme="1" tint="0.249977111117893"/>
        <rFont val="맑은 고딕"/>
        <family val="3"/>
        <charset val="129"/>
        <scheme val="minor"/>
      </rPr>
      <t xml:space="preserve"> </t>
    </r>
    <r>
      <rPr>
        <sz val="10"/>
        <color theme="1" tint="0.249977111117893"/>
        <rFont val="맑은 고딕"/>
        <family val="2"/>
        <scheme val="minor"/>
      </rPr>
      <t>สมุทรสาคร</t>
    </r>
    <r>
      <rPr>
        <sz val="10"/>
        <color theme="1" tint="0.249977111117893"/>
        <rFont val="맑은 고딕"/>
        <family val="3"/>
        <charset val="129"/>
        <scheme val="minor"/>
      </rPr>
      <t>", "language_code": null, "source_api": "geocoding"}, {"types": ["administrative_area_level_1", "political"], "long_text": "Chang Wat Samut Sakhon", "short_text": "</t>
    </r>
    <r>
      <rPr>
        <sz val="10"/>
        <color theme="1" tint="0.249977111117893"/>
        <rFont val="맑은 고딕"/>
        <family val="2"/>
        <scheme val="minor"/>
      </rPr>
      <t>จ</t>
    </r>
    <r>
      <rPr>
        <sz val="10"/>
        <color theme="1" tint="0.249977111117893"/>
        <rFont val="맑은 고딕"/>
        <family val="3"/>
        <charset val="129"/>
        <scheme val="minor"/>
      </rPr>
      <t>.</t>
    </r>
    <r>
      <rPr>
        <sz val="10"/>
        <color theme="1" tint="0.249977111117893"/>
        <rFont val="맑은 고딕"/>
        <family val="2"/>
        <scheme val="minor"/>
      </rPr>
      <t>สมุทรสาคร</t>
    </r>
    <r>
      <rPr>
        <sz val="10"/>
        <color theme="1" tint="0.249977111117893"/>
        <rFont val="맑은 고딕"/>
        <family val="3"/>
        <charset val="129"/>
        <scheme val="minor"/>
      </rPr>
      <t>", "language_code": null, "source_api": "geocoding"}, {"types": ["country", "political"], "long_text": "Thailand", "short_text": "TH", "language_code": null, "source_api": "geocoding"}, {"types": ["postal_code"], "long_text": "74000", "short_text": "74000", "language_code": null, "source_api": "geocoding"}]</t>
    </r>
  </si>
  <si>
    <r>
      <t xml:space="preserve">중국 Shan Xi Sheng, Xi An Shi, Ba Qiao Qu, </t>
    </r>
    <r>
      <rPr>
        <sz val="10"/>
        <color theme="1" tint="0.249977111117893"/>
        <rFont val="맑은 고딕"/>
        <family val="2"/>
        <scheme val="minor"/>
      </rPr>
      <t>亚</t>
    </r>
    <r>
      <rPr>
        <sz val="10"/>
        <color theme="1" tint="0.249977111117893"/>
        <rFont val="맑은 고딕"/>
        <family val="3"/>
        <charset val="129"/>
        <scheme val="minor"/>
      </rPr>
      <t xml:space="preserve">洲道93WF+8X9 </t>
    </r>
    <r>
      <rPr>
        <sz val="10"/>
        <color theme="1" tint="0.249977111117893"/>
        <rFont val="맑은 고딕"/>
        <family val="2"/>
        <scheme val="minor"/>
      </rPr>
      <t>邮</t>
    </r>
    <r>
      <rPr>
        <sz val="10"/>
        <color theme="1" tint="0.249977111117893"/>
        <rFont val="맑은 고딕"/>
        <family val="3"/>
        <charset val="129"/>
        <scheme val="minor"/>
      </rPr>
      <t>政</t>
    </r>
    <r>
      <rPr>
        <sz val="10"/>
        <color theme="1" tint="0.249977111117893"/>
        <rFont val="맑은 고딕"/>
        <family val="2"/>
        <scheme val="minor"/>
      </rPr>
      <t>编码</t>
    </r>
    <r>
      <rPr>
        <sz val="10"/>
        <color theme="1" tint="0.249977111117893"/>
        <rFont val="맑은 고딕"/>
        <family val="3"/>
        <charset val="129"/>
        <scheme val="minor"/>
      </rPr>
      <t>: 710027</t>
    </r>
  </si>
  <si>
    <r>
      <t xml:space="preserve">China, Shan Xi Sheng, Xi An Shi, Ba Qiao Qu, </t>
    </r>
    <r>
      <rPr>
        <sz val="10"/>
        <color theme="1" tint="0.249977111117893"/>
        <rFont val="맑은 고딕"/>
        <family val="2"/>
        <scheme val="minor"/>
      </rPr>
      <t>亚</t>
    </r>
    <r>
      <rPr>
        <sz val="10"/>
        <color theme="1" tint="0.249977111117893"/>
        <rFont val="맑은 고딕"/>
        <family val="3"/>
        <charset val="129"/>
        <scheme val="minor"/>
      </rPr>
      <t xml:space="preserve">洲道93WG+FFR </t>
    </r>
    <r>
      <rPr>
        <sz val="10"/>
        <color theme="1" tint="0.249977111117893"/>
        <rFont val="맑은 고딕"/>
        <family val="2"/>
        <scheme val="minor"/>
      </rPr>
      <t>邮</t>
    </r>
    <r>
      <rPr>
        <sz val="10"/>
        <color theme="1" tint="0.249977111117893"/>
        <rFont val="맑은 고딕"/>
        <family val="3"/>
        <charset val="129"/>
        <scheme val="minor"/>
      </rPr>
      <t>政</t>
    </r>
    <r>
      <rPr>
        <sz val="10"/>
        <color theme="1" tint="0.249977111117893"/>
        <rFont val="맑은 고딕"/>
        <family val="2"/>
        <scheme val="minor"/>
      </rPr>
      <t>编码</t>
    </r>
    <r>
      <rPr>
        <sz val="10"/>
        <color theme="1" tint="0.249977111117893"/>
        <rFont val="맑은 고딕"/>
        <family val="3"/>
        <charset val="129"/>
        <scheme val="minor"/>
      </rPr>
      <t>: 710027</t>
    </r>
  </si>
  <si>
    <r>
      <t>[{"types": ["plus_code"], "long_text": "93WG+FFR", "short_text": "93WG+FFR", "language_code": null, "source_api": "geocoding"}, {"types": ["route"], "long_text": "</t>
    </r>
    <r>
      <rPr>
        <sz val="10"/>
        <color theme="1" tint="0.249977111117893"/>
        <rFont val="맑은 고딕"/>
        <family val="2"/>
        <scheme val="minor"/>
      </rPr>
      <t>亚</t>
    </r>
    <r>
      <rPr>
        <sz val="10"/>
        <color theme="1" tint="0.249977111117893"/>
        <rFont val="맑은 고딕"/>
        <family val="3"/>
        <charset val="129"/>
        <scheme val="minor"/>
      </rPr>
      <t>洲道", "short_text": "</t>
    </r>
    <r>
      <rPr>
        <sz val="10"/>
        <color theme="1" tint="0.249977111117893"/>
        <rFont val="맑은 고딕"/>
        <family val="2"/>
        <scheme val="minor"/>
      </rPr>
      <t>亚</t>
    </r>
    <r>
      <rPr>
        <sz val="10"/>
        <color theme="1" tint="0.249977111117893"/>
        <rFont val="맑은 고딕"/>
        <family val="3"/>
        <charset val="129"/>
        <scheme val="minor"/>
      </rPr>
      <t>洲道", "language_code": null, "source_api": "geocoding"}, {"types": ["political", "sublocality", "sublocality_level_1"], "long_text": "Ba Qiao Qu", "short_text": "Ba Qiao Qu", "language_code": null, "source_api": "geocoding"}, {"types": ["locality", "political"], "long_text": "Xi An Shi", "short_text": "Xi An Shi", "language_code": null, "source_api": "geocoding"}, {"types": ["administrative_area_level_1", "political"], "long_text": "Shan Xi Sheng", "short_text": "Shan Xi Sheng", "language_code": null, "source_api": "geocoding"}, {"types": ["country", "political"], "long_text": "China", "short_text": "CN", "language_code": null, "source_api": "geocoding"}, {"types": ["postal_code"], "long_text": "710027", "short_text": "710027", "language_code": null, "source_api": "geocoding"}]</t>
    </r>
  </si>
  <si>
    <r>
      <t xml:space="preserve">China, Zhe Jiang Sheng, Qu Zhou Shi, Ke Cheng Qu, 中央道VVXX+JGF </t>
    </r>
    <r>
      <rPr>
        <sz val="10"/>
        <color theme="1" tint="0.249977111117893"/>
        <rFont val="맑은 고딕"/>
        <family val="2"/>
        <scheme val="minor"/>
      </rPr>
      <t>邮</t>
    </r>
    <r>
      <rPr>
        <sz val="10"/>
        <color theme="1" tint="0.249977111117893"/>
        <rFont val="맑은 고딕"/>
        <family val="3"/>
        <charset val="129"/>
        <scheme val="minor"/>
      </rPr>
      <t>政</t>
    </r>
    <r>
      <rPr>
        <sz val="10"/>
        <color theme="1" tint="0.249977111117893"/>
        <rFont val="맑은 고딕"/>
        <family val="2"/>
        <scheme val="minor"/>
      </rPr>
      <t>编码</t>
    </r>
    <r>
      <rPr>
        <sz val="10"/>
        <color theme="1" tint="0.249977111117893"/>
        <rFont val="맑은 고딕"/>
        <family val="3"/>
        <charset val="129"/>
        <scheme val="minor"/>
      </rPr>
      <t>: 324004</t>
    </r>
  </si>
  <si>
    <r>
      <t>35, Đ</t>
    </r>
    <r>
      <rPr>
        <sz val="10"/>
        <color theme="1" tint="0.249977111117893"/>
        <rFont val="맑은 고딕"/>
        <family val="2"/>
        <scheme val="minor"/>
      </rPr>
      <t>ư</t>
    </r>
    <r>
      <rPr>
        <sz val="10"/>
        <color theme="1" tint="0.249977111117893"/>
        <rFont val="맑은 고딕"/>
        <family val="3"/>
        <charset val="129"/>
        <scheme val="minor"/>
      </rPr>
      <t>ờng Đồng Khởi, thành phố Biên Hòa, Đồng Nai, Vietnam</t>
    </r>
  </si>
  <si>
    <r>
      <t>[{"types": ["street_number"], "long_text": "35", "short_text": "35", "language_code": null, "source_api": "geocoding"}, {"types": ["route"], "long_text": "Đ</t>
    </r>
    <r>
      <rPr>
        <sz val="10"/>
        <color theme="1" tint="0.249977111117893"/>
        <rFont val="맑은 고딕"/>
        <family val="2"/>
        <scheme val="minor"/>
      </rPr>
      <t>ư</t>
    </r>
    <r>
      <rPr>
        <sz val="10"/>
        <color theme="1" tint="0.249977111117893"/>
        <rFont val="맑은 고딕"/>
        <family val="3"/>
        <charset val="129"/>
        <scheme val="minor"/>
      </rPr>
      <t>ờng Đồng Khởi", "short_text": "Đ. Đồng Khởi", "language_code": null, "source_api": "geocoding"}, {"types": ["locality", "political"], "long_text": "Đồng Nai", "short_text": "Đồng Nai", "language_code": null, "source_api": "geocoding"}, {"types": ["administrative_area_level_1", "political"], "long_text": "Đồng Nai", "short_text": "Đồng Nai", "language_code": null, "source_api": "geocoding"}, {"types": ["country", "political"], "long_text": "Vietnam", "short_text": "VN", "language_code": null, "source_api": "geocoding"}]</t>
    </r>
  </si>
  <si>
    <r>
      <t>Đ</t>
    </r>
    <r>
      <rPr>
        <sz val="10"/>
        <color theme="1" tint="0.249977111117893"/>
        <rFont val="맑은 고딕"/>
        <family val="2"/>
        <scheme val="minor"/>
      </rPr>
      <t>ư</t>
    </r>
    <r>
      <rPr>
        <sz val="10"/>
        <color theme="1" tint="0.249977111117893"/>
        <rFont val="맑은 고딕"/>
        <family val="3"/>
        <charset val="129"/>
        <scheme val="minor"/>
      </rPr>
      <t>ờng 1A, tt. Nếnh, Việt Yên, Bắc Giang, Vietnam</t>
    </r>
  </si>
  <si>
    <r>
      <rPr>
        <sz val="10"/>
        <color theme="1" tint="0.249977111117893"/>
        <rFont val="맑은 고딕"/>
        <family val="2"/>
        <scheme val="minor"/>
      </rPr>
      <t>锦业</t>
    </r>
    <r>
      <rPr>
        <sz val="10"/>
        <color theme="1" tint="0.249977111117893"/>
        <rFont val="맑은 고딕"/>
        <family val="3"/>
        <charset val="129"/>
        <scheme val="minor"/>
      </rPr>
      <t>路1</t>
    </r>
    <r>
      <rPr>
        <sz val="10"/>
        <color theme="1" tint="0.249977111117893"/>
        <rFont val="맑은 고딕"/>
        <family val="2"/>
        <scheme val="minor"/>
      </rPr>
      <t>号</t>
    </r>
    <r>
      <rPr>
        <sz val="10"/>
        <color theme="1" tint="0.249977111117893"/>
        <rFont val="맑은 고딕"/>
        <family val="3"/>
        <charset val="129"/>
        <scheme val="minor"/>
      </rPr>
      <t>都市之</t>
    </r>
    <r>
      <rPr>
        <sz val="10"/>
        <color theme="1" tint="0.249977111117893"/>
        <rFont val="맑은 고딕"/>
        <family val="2"/>
        <scheme val="minor"/>
      </rPr>
      <t>门</t>
    </r>
    <r>
      <rPr>
        <sz val="10"/>
        <color theme="1" tint="0.249977111117893"/>
        <rFont val="맑은 고딕"/>
        <family val="3"/>
        <charset val="129"/>
        <scheme val="minor"/>
      </rPr>
      <t>C座405</t>
    </r>
    <r>
      <rPr>
        <sz val="10"/>
        <color theme="1" tint="0.249977111117893"/>
        <rFont val="맑은 고딕"/>
        <family val="2"/>
        <scheme val="minor"/>
      </rPr>
      <t>号</t>
    </r>
    <r>
      <rPr>
        <sz val="10"/>
        <color theme="1" tint="0.249977111117893"/>
        <rFont val="맑은 고딕"/>
        <family val="3"/>
        <charset val="129"/>
        <scheme val="minor"/>
      </rPr>
      <t xml:space="preserve">     西安 高新</t>
    </r>
    <r>
      <rPr>
        <sz val="10"/>
        <color theme="1" tint="0.249977111117893"/>
        <rFont val="맑은 고딕"/>
        <family val="2"/>
        <scheme val="minor"/>
      </rPr>
      <t>区</t>
    </r>
  </si>
  <si>
    <r>
      <t>天水</t>
    </r>
    <r>
      <rPr>
        <sz val="10"/>
        <color theme="1" tint="0.249977111117893"/>
        <rFont val="맑은 고딕"/>
        <family val="2"/>
        <scheme val="minor"/>
      </rPr>
      <t>华</t>
    </r>
    <r>
      <rPr>
        <sz val="10"/>
        <color theme="1" tint="0.249977111117893"/>
        <rFont val="맑은 고딕"/>
        <family val="3"/>
        <charset val="129"/>
        <scheme val="minor"/>
      </rPr>
      <t>天科技股</t>
    </r>
    <r>
      <rPr>
        <sz val="10"/>
        <color theme="1" tint="0.249977111117893"/>
        <rFont val="맑은 고딕"/>
        <family val="2"/>
        <scheme val="minor"/>
      </rPr>
      <t>份</t>
    </r>
    <r>
      <rPr>
        <sz val="10"/>
        <color theme="1" tint="0.249977111117893"/>
        <rFont val="맑은 고딕"/>
        <family val="3"/>
        <charset val="129"/>
        <scheme val="minor"/>
      </rPr>
      <t>有限公司</t>
    </r>
  </si>
  <si>
    <r>
      <t>秦州</t>
    </r>
    <r>
      <rPr>
        <sz val="10"/>
        <color theme="1" tint="0.249977111117893"/>
        <rFont val="맑은 고딕"/>
        <family val="2"/>
        <scheme val="minor"/>
      </rPr>
      <t>区</t>
    </r>
    <r>
      <rPr>
        <sz val="10"/>
        <color theme="1" tint="0.249977111117893"/>
        <rFont val="맑은 고딕"/>
        <family val="3"/>
        <charset val="129"/>
        <scheme val="minor"/>
      </rPr>
      <t>天水郡街道秦州大道360</t>
    </r>
    <r>
      <rPr>
        <sz val="10"/>
        <color theme="1" tint="0.249977111117893"/>
        <rFont val="맑은 고딕"/>
        <family val="2"/>
        <scheme val="minor"/>
      </rPr>
      <t>号</t>
    </r>
    <r>
      <rPr>
        <sz val="10"/>
        <color theme="1" tint="0.249977111117893"/>
        <rFont val="맑은 고딕"/>
        <family val="3"/>
        <charset val="129"/>
        <scheme val="minor"/>
      </rPr>
      <t xml:space="preserve">  天水  741001 CN</t>
    </r>
  </si>
  <si>
    <r>
      <t>天水</t>
    </r>
    <r>
      <rPr>
        <sz val="10"/>
        <color theme="1" tint="0.249977111117893"/>
        <rFont val="맑은 고딕"/>
        <family val="2"/>
        <scheme val="minor"/>
      </rPr>
      <t>华</t>
    </r>
    <r>
      <rPr>
        <sz val="10"/>
        <color theme="1" tint="0.249977111117893"/>
        <rFont val="맑은 고딕"/>
        <family val="3"/>
        <charset val="129"/>
        <scheme val="minor"/>
      </rPr>
      <t>天科技</t>
    </r>
  </si>
  <si>
    <r>
      <rPr>
        <sz val="10"/>
        <color theme="1" tint="0.249977111117893"/>
        <rFont val="맑은 고딕"/>
        <family val="2"/>
        <scheme val="minor"/>
      </rPr>
      <t>苏</t>
    </r>
    <r>
      <rPr>
        <sz val="10"/>
        <color theme="1" tint="0.249977111117893"/>
        <rFont val="맑은 고딕"/>
        <family val="3"/>
        <charset val="129"/>
        <scheme val="minor"/>
      </rPr>
      <t>州新特式半</t>
    </r>
    <r>
      <rPr>
        <sz val="10"/>
        <color theme="1" tint="0.249977111117893"/>
        <rFont val="맑은 고딕"/>
        <family val="2"/>
        <scheme val="minor"/>
      </rPr>
      <t>导</t>
    </r>
    <r>
      <rPr>
        <sz val="10"/>
        <color theme="1" tint="0.249977111117893"/>
        <rFont val="맑은 고딕"/>
        <family val="3"/>
        <charset val="129"/>
        <scheme val="minor"/>
      </rPr>
      <t>体有限公司</t>
    </r>
  </si>
  <si>
    <r>
      <rPr>
        <sz val="10"/>
        <color theme="1" tint="0.249977111117893"/>
        <rFont val="맑은 고딕"/>
        <family val="2"/>
        <scheme val="minor"/>
      </rPr>
      <t>苏</t>
    </r>
    <r>
      <rPr>
        <sz val="10"/>
        <color theme="1" tint="0.249977111117893"/>
        <rFont val="맑은 고딕"/>
        <family val="3"/>
        <charset val="129"/>
        <scheme val="minor"/>
      </rPr>
      <t>州新特式半</t>
    </r>
    <r>
      <rPr>
        <sz val="10"/>
        <color theme="1" tint="0.249977111117893"/>
        <rFont val="맑은 고딕"/>
        <family val="2"/>
        <scheme val="minor"/>
      </rPr>
      <t>导</t>
    </r>
    <r>
      <rPr>
        <sz val="10"/>
        <color theme="1" tint="0.249977111117893"/>
        <rFont val="맑은 고딕"/>
        <family val="3"/>
        <charset val="129"/>
        <scheme val="minor"/>
      </rPr>
      <t>体</t>
    </r>
  </si>
  <si>
    <r>
      <t xml:space="preserve">亭 </t>
    </r>
    <r>
      <rPr>
        <sz val="10"/>
        <color theme="1" tint="0.249977111117893"/>
        <rFont val="맑은 고딕"/>
        <family val="2"/>
        <scheme val="minor"/>
      </rPr>
      <t>镇</t>
    </r>
    <r>
      <rPr>
        <sz val="10"/>
        <color theme="1" tint="0.249977111117893"/>
        <rFont val="맑은 고딕"/>
        <family val="3"/>
        <charset val="129"/>
        <scheme val="minor"/>
      </rPr>
      <t>, 2 Chun Hui Lu, Wu Zhong Qu, Su Zhou Shi, Jiang Su Sheng, China, 215121</t>
    </r>
  </si>
  <si>
    <r>
      <t xml:space="preserve">[{"types": ["subpremise"], "long_text": "亭 </t>
    </r>
    <r>
      <rPr>
        <sz val="10"/>
        <color theme="1" tint="0.249977111117893"/>
        <rFont val="맑은 고딕"/>
        <family val="2"/>
        <scheme val="minor"/>
      </rPr>
      <t>镇</t>
    </r>
    <r>
      <rPr>
        <sz val="10"/>
        <color theme="1" tint="0.249977111117893"/>
        <rFont val="맑은 고딕"/>
        <family val="3"/>
        <charset val="129"/>
        <scheme val="minor"/>
      </rPr>
      <t xml:space="preserve">", "short_text": "亭 </t>
    </r>
    <r>
      <rPr>
        <sz val="10"/>
        <color theme="1" tint="0.249977111117893"/>
        <rFont val="맑은 고딕"/>
        <family val="2"/>
        <scheme val="minor"/>
      </rPr>
      <t>镇</t>
    </r>
    <r>
      <rPr>
        <sz val="10"/>
        <color theme="1" tint="0.249977111117893"/>
        <rFont val="맑은 고딕"/>
        <family val="3"/>
        <charset val="129"/>
        <scheme val="minor"/>
      </rPr>
      <t>", "language_code": null, "source_api": "geocoding"}, {"types": ["street_number"], "long_text": "2", "short_text": "2", "language_code": null, "source_api": "geocoding"}, {"types": ["route"], "long_text": "Chun Hui Lu", "short_text": "Chun Hui Lu", "language_code": null, "source_api": "geocoding"}, {"types": ["political", "sublocality", "sublocality_level_1"], "long_text": "Wu Zhong Qu", "short_text": "Wu Zhong Qu", "language_code": null, "source_api": "geocoding"}, {"types": ["locality", "political"], "long_text": "Su Zhou Shi", "short_text": "Su Zhou Shi", "language_code": null, "source_api": "geocoding"}, {"types": ["administrative_area_level_1", "political"], "long_text": "Jiang Su Sheng", "short_text": "Jiang Su Sheng", "language_code": null, "source_api": "geocoding"}, {"types": ["country", "political"], "long_text": "China", "short_text": "CN", "language_code": null, "source_api": "geocoding"}, {"types": ["postal_code"], "long_text": "215121", "short_text": "215121", "language_code": null, "source_api": "geocoding"}]</t>
    </r>
  </si>
  <si>
    <r>
      <t>工</t>
    </r>
    <r>
      <rPr>
        <sz val="10"/>
        <color theme="1" tint="0.249977111117893"/>
        <rFont val="맑은 고딕"/>
        <family val="2"/>
        <scheme val="minor"/>
      </rPr>
      <t>业园区</t>
    </r>
    <r>
      <rPr>
        <sz val="10"/>
        <color theme="1" tint="0.249977111117893"/>
        <rFont val="맑은 고딕"/>
        <family val="3"/>
        <charset val="129"/>
        <scheme val="minor"/>
      </rPr>
      <t>利</t>
    </r>
    <r>
      <rPr>
        <sz val="10"/>
        <color theme="1" tint="0.249977111117893"/>
        <rFont val="맑은 고딕"/>
        <family val="2"/>
        <scheme val="minor"/>
      </rPr>
      <t>达</t>
    </r>
    <r>
      <rPr>
        <sz val="10"/>
        <color theme="1" tint="0.249977111117893"/>
        <rFont val="맑은 고딕"/>
        <family val="3"/>
        <charset val="129"/>
        <scheme val="minor"/>
      </rPr>
      <t>路4</t>
    </r>
    <r>
      <rPr>
        <sz val="10"/>
        <color theme="1" tint="0.249977111117893"/>
        <rFont val="맑은 고딕"/>
        <family val="2"/>
        <scheme val="minor"/>
      </rPr>
      <t>号</t>
    </r>
    <r>
      <rPr>
        <sz val="10"/>
        <color theme="1" tint="0.249977111117893"/>
        <rFont val="맑은 고딕"/>
        <family val="3"/>
        <charset val="129"/>
        <scheme val="minor"/>
      </rPr>
      <t xml:space="preserve">     江</t>
    </r>
    <r>
      <rPr>
        <sz val="10"/>
        <color theme="1" tint="0.249977111117893"/>
        <rFont val="맑은 고딕"/>
        <family val="2"/>
        <scheme val="minor"/>
      </rPr>
      <t>苏</t>
    </r>
    <r>
      <rPr>
        <sz val="10"/>
        <color theme="1" tint="0.249977111117893"/>
        <rFont val="맑은 고딕"/>
        <family val="3"/>
        <charset val="129"/>
        <scheme val="minor"/>
      </rPr>
      <t>省</t>
    </r>
    <r>
      <rPr>
        <sz val="10"/>
        <color theme="1" tint="0.249977111117893"/>
        <rFont val="맑은 고딕"/>
        <family val="2"/>
        <scheme val="minor"/>
      </rPr>
      <t>苏</t>
    </r>
    <r>
      <rPr>
        <sz val="10"/>
        <color theme="1" tint="0.249977111117893"/>
        <rFont val="맑은 고딕"/>
        <family val="3"/>
        <charset val="129"/>
        <scheme val="minor"/>
      </rPr>
      <t>州市</t>
    </r>
  </si>
  <si>
    <r>
      <rPr>
        <sz val="10"/>
        <color theme="1" tint="0.249977111117893"/>
        <rFont val="맑은 고딕"/>
        <family val="2"/>
        <scheme val="minor"/>
      </rPr>
      <t>达</t>
    </r>
    <r>
      <rPr>
        <sz val="10"/>
        <color theme="1" tint="0.249977111117893"/>
        <rFont val="맑은 고딕"/>
        <family val="3"/>
        <charset val="129"/>
        <scheme val="minor"/>
      </rPr>
      <t>成包装制品(</t>
    </r>
    <r>
      <rPr>
        <sz val="10"/>
        <color theme="1" tint="0.249977111117893"/>
        <rFont val="맑은 고딕"/>
        <family val="2"/>
        <scheme val="minor"/>
      </rPr>
      <t>苏</t>
    </r>
    <r>
      <rPr>
        <sz val="10"/>
        <color theme="1" tint="0.249977111117893"/>
        <rFont val="맑은 고딕"/>
        <family val="3"/>
        <charset val="129"/>
        <scheme val="minor"/>
      </rPr>
      <t>州)有限公司</t>
    </r>
  </si>
  <si>
    <r>
      <t>相城</t>
    </r>
    <r>
      <rPr>
        <sz val="10"/>
        <color theme="1" tint="0.249977111117893"/>
        <rFont val="맑은 고딕"/>
        <family val="2"/>
        <scheme val="minor"/>
      </rPr>
      <t>区</t>
    </r>
    <r>
      <rPr>
        <sz val="10"/>
        <color theme="1" tint="0.249977111117893"/>
        <rFont val="맑은 고딕"/>
        <family val="3"/>
        <charset val="129"/>
        <scheme val="minor"/>
      </rPr>
      <t>望亭</t>
    </r>
    <r>
      <rPr>
        <sz val="10"/>
        <color theme="1" tint="0.249977111117893"/>
        <rFont val="맑은 고딕"/>
        <family val="2"/>
        <scheme val="minor"/>
      </rPr>
      <t>镇问</t>
    </r>
    <r>
      <rPr>
        <sz val="10"/>
        <color theme="1" tint="0.249977111117893"/>
        <rFont val="맑은 고딕"/>
        <family val="3"/>
        <charset val="129"/>
        <scheme val="minor"/>
      </rPr>
      <t>渡路88</t>
    </r>
    <r>
      <rPr>
        <sz val="10"/>
        <color theme="1" tint="0.249977111117893"/>
        <rFont val="맑은 고딕"/>
        <family val="2"/>
        <scheme val="minor"/>
      </rPr>
      <t>号</t>
    </r>
    <r>
      <rPr>
        <sz val="10"/>
        <color theme="1" tint="0.249977111117893"/>
        <rFont val="맑은 고딕"/>
        <family val="3"/>
        <charset val="129"/>
        <scheme val="minor"/>
      </rPr>
      <t xml:space="preserve">  </t>
    </r>
    <r>
      <rPr>
        <sz val="10"/>
        <color theme="1" tint="0.249977111117893"/>
        <rFont val="맑은 고딕"/>
        <family val="2"/>
        <scheme val="minor"/>
      </rPr>
      <t>苏</t>
    </r>
    <r>
      <rPr>
        <sz val="10"/>
        <color theme="1" tint="0.249977111117893"/>
        <rFont val="맑은 고딕"/>
        <family val="3"/>
        <charset val="129"/>
        <scheme val="minor"/>
      </rPr>
      <t>州  215155 CN</t>
    </r>
  </si>
  <si>
    <r>
      <rPr>
        <sz val="10"/>
        <color theme="1" tint="0.249977111117893"/>
        <rFont val="맑은 고딕"/>
        <family val="2"/>
        <scheme val="minor"/>
      </rPr>
      <t>达</t>
    </r>
    <r>
      <rPr>
        <sz val="10"/>
        <color theme="1" tint="0.249977111117893"/>
        <rFont val="맑은 고딕"/>
        <family val="3"/>
        <charset val="129"/>
        <scheme val="minor"/>
      </rPr>
      <t>成包装制品(</t>
    </r>
    <r>
      <rPr>
        <sz val="10"/>
        <color theme="1" tint="0.249977111117893"/>
        <rFont val="맑은 고딕"/>
        <family val="2"/>
        <scheme val="minor"/>
      </rPr>
      <t>苏</t>
    </r>
    <r>
      <rPr>
        <sz val="10"/>
        <color theme="1" tint="0.249977111117893"/>
        <rFont val="맑은 고딕"/>
        <family val="3"/>
        <charset val="129"/>
        <scheme val="minor"/>
      </rPr>
      <t>州)</t>
    </r>
  </si>
  <si>
    <r>
      <t>China, Su Zhou Shi, Hu Qiu Qu, CN 江</t>
    </r>
    <r>
      <rPr>
        <sz val="10"/>
        <color theme="1" tint="0.249977111117893"/>
        <rFont val="Microsoft JhengHei"/>
        <family val="2"/>
        <charset val="136"/>
      </rPr>
      <t>苏</t>
    </r>
    <r>
      <rPr>
        <sz val="10"/>
        <color theme="1" tint="0.249977111117893"/>
        <rFont val="맑은 고딕"/>
        <family val="3"/>
        <charset val="129"/>
        <scheme val="minor"/>
      </rPr>
      <t xml:space="preserve">省 </t>
    </r>
    <r>
      <rPr>
        <sz val="10"/>
        <color theme="1" tint="0.249977111117893"/>
        <rFont val="Microsoft JhengHei"/>
        <family val="2"/>
        <charset val="136"/>
      </rPr>
      <t>苏</t>
    </r>
    <r>
      <rPr>
        <sz val="10"/>
        <color theme="1" tint="0.249977111117893"/>
        <rFont val="맑은 고딕"/>
        <family val="3"/>
        <charset val="129"/>
        <scheme val="minor"/>
      </rPr>
      <t>州市 虎丘</t>
    </r>
    <r>
      <rPr>
        <sz val="10"/>
        <color theme="1" tint="0.249977111117893"/>
        <rFont val="Noto Sans KR"/>
        <family val="3"/>
        <charset val="129"/>
      </rPr>
      <t>区</t>
    </r>
    <r>
      <rPr>
        <sz val="10"/>
        <color theme="1" tint="0.249977111117893"/>
        <rFont val="맑은 고딕"/>
        <family val="3"/>
        <charset val="129"/>
        <scheme val="minor"/>
      </rPr>
      <t xml:space="preserve"> 漓江路 58 58</t>
    </r>
    <r>
      <rPr>
        <sz val="10"/>
        <color theme="1" tint="0.249977111117893"/>
        <rFont val="Noto Sans KR"/>
        <family val="3"/>
        <charset val="129"/>
      </rPr>
      <t>号</t>
    </r>
    <r>
      <rPr>
        <sz val="10"/>
        <color theme="1" tint="0.249977111117893"/>
        <rFont val="Microsoft JhengHei"/>
        <family val="2"/>
        <charset val="136"/>
      </rPr>
      <t>苏</t>
    </r>
    <r>
      <rPr>
        <sz val="10"/>
        <color theme="1" tint="0.249977111117893"/>
        <rFont val="맑은 고딕"/>
        <family val="3"/>
        <charset val="129"/>
        <scheme val="minor"/>
      </rPr>
      <t>州科技城工</t>
    </r>
    <r>
      <rPr>
        <sz val="10"/>
        <color theme="1" tint="0.249977111117893"/>
        <rFont val="Microsoft JhengHei"/>
        <family val="2"/>
        <charset val="136"/>
      </rPr>
      <t>业</t>
    </r>
    <r>
      <rPr>
        <sz val="10"/>
        <color theme="1" tint="0.249977111117893"/>
        <rFont val="맑은 고딕"/>
        <family val="3"/>
        <charset val="129"/>
        <scheme val="minor"/>
      </rPr>
      <t>坊B</t>
    </r>
    <r>
      <rPr>
        <sz val="10"/>
        <color theme="1" tint="0.249977111117893"/>
        <rFont val="Noto Sans KR"/>
        <family val="3"/>
        <charset val="129"/>
      </rPr>
      <t>区</t>
    </r>
    <r>
      <rPr>
        <sz val="10"/>
        <color theme="1" tint="0.249977111117893"/>
        <rFont val="맑은 고딕"/>
        <family val="3"/>
        <charset val="129"/>
        <scheme val="minor"/>
      </rPr>
      <t>6</t>
    </r>
    <r>
      <rPr>
        <sz val="10"/>
        <color theme="1" tint="0.249977111117893"/>
        <rFont val="Microsoft JhengHei"/>
        <family val="2"/>
        <charset val="136"/>
      </rPr>
      <t>栋</t>
    </r>
    <r>
      <rPr>
        <sz val="10"/>
        <color theme="1" tint="0.249977111117893"/>
        <rFont val="맑은 고딕"/>
        <family val="3"/>
        <charset val="129"/>
        <scheme val="minor"/>
      </rPr>
      <t xml:space="preserve"> </t>
    </r>
    <r>
      <rPr>
        <sz val="10"/>
        <color theme="1" tint="0.249977111117893"/>
        <rFont val="Microsoft JhengHei"/>
        <family val="2"/>
        <charset val="136"/>
      </rPr>
      <t>邮</t>
    </r>
    <r>
      <rPr>
        <sz val="10"/>
        <color theme="1" tint="0.249977111117893"/>
        <rFont val="맑은 고딕"/>
        <family val="3"/>
        <charset val="129"/>
        <scheme val="minor"/>
      </rPr>
      <t>政</t>
    </r>
    <r>
      <rPr>
        <sz val="10"/>
        <color theme="1" tint="0.249977111117893"/>
        <rFont val="Microsoft JhengHei"/>
        <family val="2"/>
        <charset val="136"/>
      </rPr>
      <t>编码</t>
    </r>
    <r>
      <rPr>
        <sz val="10"/>
        <color theme="1" tint="0.249977111117893"/>
        <rFont val="맑은 고딕"/>
        <family val="3"/>
        <charset val="129"/>
        <scheme val="minor"/>
      </rPr>
      <t>: 215163</t>
    </r>
    <phoneticPr fontId="1" type="noConversion"/>
  </si>
  <si>
    <t>1 San Qian Road Suzhou Gaoxin District</t>
    <phoneticPr fontId="1" type="noConversion"/>
  </si>
  <si>
    <t>9811 Katy Fwy #100, Houston, TX 77024, USA</t>
  </si>
  <si>
    <t>Lot 17, Fasa 1 Kulim Hi-Tech Park, Kedah, Taman Kulim Hi-tech, 09000 Kulim, Kedah, Malaysia</t>
  </si>
  <si>
    <t>Pasadena, CA, USA</t>
    <phoneticPr fontId="1" type="noConversion"/>
  </si>
  <si>
    <t>34 Jin Hai Lu, Wu Zhong Qu, Su Zhou Shi, Jiang Su Sheng, China, 215000</t>
  </si>
  <si>
    <t>XR4R+PHW, Tran Bien, Dong Nai City, Vietnam</t>
    <phoneticPr fontId="1" type="noConversion"/>
  </si>
  <si>
    <t>Land lot A industrial zone, Nếnh, Bắc Ninh, Vietnam</t>
  </si>
  <si>
    <t>STD_업체명_OLD</t>
    <phoneticPr fontId="1" type="noConversion"/>
  </si>
  <si>
    <t>STD_주소_OLD</t>
    <phoneticPr fontId="1" type="noConversion"/>
  </si>
  <si>
    <t>표준화_OLD</t>
    <phoneticPr fontId="1" type="noConversion"/>
  </si>
  <si>
    <t>분류 코드_OLD</t>
    <phoneticPr fontId="1" type="noConversion"/>
  </si>
  <si>
    <t>VERIFIED_TEXTSEARCH_ADDR_TEXT</t>
  </si>
  <si>
    <t>비고_OLD</t>
    <phoneticPr fontId="1" type="noConversion"/>
  </si>
  <si>
    <t>지오코딩 성공, 표준좌표 기준 TextSearch 매칭(G 도시레벨→TS 좌표 채택)</t>
  </si>
  <si>
    <t>표준좌표 TextSearch 미매칭, 업체명+주소텍스트 TextSearch로 매칭(레벨 L1)</t>
  </si>
  <si>
    <t>표준좌표 TextSearch 미매칭, 업체명+주소텍스트 TextSearch로 매칭(레벨 L3)</t>
  </si>
  <si>
    <t>Comments</t>
    <phoneticPr fontId="1" type="noConversion"/>
  </si>
  <si>
    <t>Note</t>
    <phoneticPr fontId="1" type="noConversion"/>
  </si>
  <si>
    <t>소계</t>
    <phoneticPr fontId="1" type="noConversion"/>
  </si>
  <si>
    <t>Suzhou Kematek, Inc.</t>
    <phoneticPr fontId="1" type="noConversion"/>
  </si>
  <si>
    <t>https://www.google.com/maps/place/?q=place_id:ChIJmegxpsmdszURxrpKRCsOcA8</t>
    <phoneticPr fontId="1" type="noConversion"/>
  </si>
  <si>
    <t>검증 완료</t>
    <phoneticPr fontId="1" type="noConversion"/>
  </si>
  <si>
    <t>Honeywell Automation and Control Solution(China) Co.,Ltd.</t>
    <phoneticPr fontId="1" type="noConversion"/>
  </si>
  <si>
    <t>FUTE NORTH ROAD NO.456 5F A2 ROOM SHANGHAI PILOT FREE TRADE ZONE</t>
    <phoneticPr fontId="1" type="noConversion"/>
  </si>
  <si>
    <t>https://www.google.com/maps/search/?api=1&amp;query=Honeywell%20Automation%20and%20Control%20Solution%28China%29%20Co.%2CLtd.%20FUTE%20NORTH%20ROAD%20NO.456%205F%20A2%20ROOM%20SHANGHAI%20PILOT%20FREE%20TRADE%20ZONE</t>
    <phoneticPr fontId="1" type="noConversion"/>
  </si>
  <si>
    <t>확인 필요</t>
    <phoneticPr fontId="1" type="noConversion"/>
  </si>
  <si>
    <r>
      <t xml:space="preserve">중국 Shan Xi Sheng, Xi An Shi, Ba Qiao Qu, </t>
    </r>
    <r>
      <rPr>
        <sz val="10"/>
        <color theme="1" tint="0.249977111117893"/>
        <rFont val="Microsoft JhengHei"/>
        <family val="2"/>
        <charset val="136"/>
      </rPr>
      <t>亚</t>
    </r>
    <r>
      <rPr>
        <sz val="10"/>
        <color theme="1" tint="0.249977111117893"/>
        <rFont val="맑은 고딕"/>
        <family val="3"/>
        <charset val="129"/>
        <scheme val="minor"/>
      </rPr>
      <t xml:space="preserve">洲道93WF+8X9 </t>
    </r>
    <r>
      <rPr>
        <sz val="10"/>
        <color theme="1" tint="0.249977111117893"/>
        <rFont val="Microsoft JhengHei"/>
        <family val="2"/>
        <charset val="136"/>
      </rPr>
      <t>邮</t>
    </r>
    <r>
      <rPr>
        <sz val="10"/>
        <color theme="1" tint="0.249977111117893"/>
        <rFont val="맑은 고딕"/>
        <family val="3"/>
        <charset val="129"/>
        <scheme val="minor"/>
      </rPr>
      <t>政</t>
    </r>
    <r>
      <rPr>
        <sz val="10"/>
        <color theme="1" tint="0.249977111117893"/>
        <rFont val="Microsoft JhengHei"/>
        <family val="2"/>
        <charset val="136"/>
      </rPr>
      <t>编码</t>
    </r>
    <r>
      <rPr>
        <sz val="10"/>
        <color theme="1" tint="0.249977111117893"/>
        <rFont val="맑은 고딕"/>
        <family val="3"/>
        <charset val="129"/>
        <scheme val="minor"/>
      </rPr>
      <t>: 710027</t>
    </r>
    <phoneticPr fontId="1" type="noConversion"/>
  </si>
  <si>
    <t>https://www.google.com/maps/search/?api=1&amp;query=CINOS%28CX1%2CCX2%29%20%EC%A4%91%EA%B5%AD%20Shan%20Xi%20Sheng%2C%20Xi%20An%20Shi%2C%20Ba%20Qiao%20Qu%2C%20%E4%BA%9A%E6%B4%B2%E9%81%9393WF%2B8X9%20%E9%82%AE%E6%94%BF%E7%BC%96%E7%A0%81%3A%20710027</t>
    <phoneticPr fontId="1" type="noConversion"/>
  </si>
  <si>
    <t>실패</t>
    <phoneticPr fontId="1" type="noConversion"/>
  </si>
  <si>
    <t>PO BOX 200269 HOUSTON TX</t>
    <phoneticPr fontId="1" type="noConversion"/>
  </si>
  <si>
    <t>29.782451</t>
  </si>
  <si>
    <t>-95.536400</t>
  </si>
  <si>
    <t>ChIJsTtJC6y4QIYRSI2XSZdeW3Q</t>
  </si>
  <si>
    <t>https://www.google.com/maps/place/?q=place_id:ChIJsTtJC6y4QIYRSI2XSZdeW3Q</t>
    <phoneticPr fontId="1" type="noConversion"/>
  </si>
  <si>
    <t>[{"types": ["subpremise"], "long_text": "100", "short_text": "100", "language_code": "en", "source_api": "places_new"}, {"types": ["street_number"], "long_text": "9811", "short_text": "9811", "language_code": "en-US", "source_api": "places_new"}, {"types": ["route"], "long_text": "Katy Freeway", "short_text": "Katy Fwy", "language_code": "en", "source_api": "places_new"}, {"types": ["neighborhood", "political"], "long_text": "Memorial City", "short_text": "Memorial City", "language_code": "en", "source_api": "places_new"}, {"types": ["locality", "political"], "long_text": "Houston", "short_text": "Houston", "language_code": "en", "source_api": "places_new"}, {"types": ["administrative_area_level_2", "political"], "long_text": "Harris County", "short_text": "Harris County", "language_code": "en", "source_api": "places_new"}, {"types": ["administrative_area_level_1", "political"], "long_text": "Texas", "short_text": "TX", "language_code": "en", "source_api": "places_new"}, {"types": ["country", "political"], "long_text": "United States", "short_text": "US", "language_code": "en", "source_api": "places_new"}, {"types": ["postal_code"], "long_text": "77024", "short_text": "77024", "language_code": "en-US", "source_api": "places_new"}]</t>
  </si>
  <si>
    <t>https://www.google.com/maps/place/?q=place_id:ChIJ83c4KwAXezURJ2oNR5ylGaY</t>
    <phoneticPr fontId="1" type="noConversion"/>
  </si>
  <si>
    <t>https://www.google.com/maps/search/?api=1&amp;query=CINOS%28C1%29%20%EB%8C%80%ED%95%9C%EB%AF%BC%EA%B5%AD%20%EA%B2%BD%EA%B8%B0%EB%8F%84%20%ED%99%94%EC%84%B1%EC%8B%9C%20%ED%8C%94%ED%83%84%EB%A9%B4%20%EA%B0%80%EC%9E%AC%EB%A6%AC%20299-2</t>
    <phoneticPr fontId="1" type="noConversion"/>
  </si>
  <si>
    <t>Solstice Electronic Materials - Spokane</t>
    <phoneticPr fontId="1" type="noConversion"/>
  </si>
  <si>
    <t>PO BOX 100257 PASADENA CA</t>
    <phoneticPr fontId="1" type="noConversion"/>
  </si>
  <si>
    <t>https://www.google.com/maps/search/?api=1&amp;query=Solstice%20Electronic%20Materials%20-%20Spokane%20PO%20BOX%20100257%20PASADENA%20CA</t>
    <phoneticPr fontId="1" type="noConversion"/>
  </si>
  <si>
    <t>https://www.google.com/maps/search/?api=1&amp;query=CW%20QUERETARO%20MEXICO%20SA%20DE%20CV%20RHH5%2B52%2C%20El%20Puerto%2C%20Quer%C3%A9taro%2C%20Mexico%2C%2076215</t>
    <phoneticPr fontId="1" type="noConversion"/>
  </si>
  <si>
    <t>ChIJq6qqqubMSjAR7P43RFFhmpU</t>
  </si>
  <si>
    <t>https://www.google.com/maps/place/?q=place_id:ChIJq6qqqubMSjAR7P43RFFhmpU</t>
    <phoneticPr fontId="1" type="noConversion"/>
  </si>
  <si>
    <t>[{"types": [], "long_text": "Lot 17, Fasa 1 Kulim Hi-Tech Park, Kedah", "short_text": "", "language_code": "en", "source_api": "places_new"}, {"types": ["sublocality_level_1", "sublocality", "political"], "long_text": "Taman Kulim Hi-tech", "short_text": "Taman Kulim Hi-tech", "language_code": "en", "source_api": "places_new"}, {"types": ["locality", "political"], "long_text": "Kulim", "short_text": "Kulim", "language_code": "en", "source_api": "places_new"}, {"types": ["administrative_area_level_1", "political"], "long_text": "Kedah", "short_text": "Kedah", "language_code": "en", "source_api": "places_new"}, {"types": ["country", "political"], "long_text": "Malaysia", "short_text": "MY", "language_code": "en", "source_api": "places_new"}, {"types": ["postal_code"], "long_text": "09000", "short_text": "09000", "language_code": "en-US", "source_api": "places_new"}]</t>
  </si>
  <si>
    <t>8Q9C+R6W, Xinghua Street, Wu Zhong Qu, Su Zhou Shi, Jiang Su Sheng, China, 215121</t>
    <phoneticPr fontId="1" type="noConversion"/>
  </si>
  <si>
    <t>ChIJ99jhXa2pszURVhN82bFMSDI</t>
  </si>
  <si>
    <t>https://www.google.com/maps/place/?q=place_id:ChIJ99jhXa2pszURVhN82bFMSDI</t>
    <phoneticPr fontId="1" type="noConversion"/>
  </si>
  <si>
    <t>[{"types": ["street_number"], "long_text": "34", "short_text": "34", "language_code": "en-US", "source_api": "places_new"}, {"types": ["route"], "long_text": "Jin Hai Lu", "short_text": "Jin Hai Lu", "language_code": "zh-Latn", "source_api": "places_new"}, {"types": ["sublocality_level_1", "sublocality", "political"], "long_text": "Wu Zhong Qu", "short_text": "Wu Zhong Qu", "language_code": "zh-Latn", "source_api": "places_new"}, {"types": ["locality", "political"], "long_text": "Su Zhou Shi", "short_text": "Su Zhou Shi", "language_code": "zh-Latn", "source_api": "places_new"}, {"types": ["administrative_area_level_1", "political"], "long_text": "Jiang Su Sheng", "short_text": "Jiang Su Sheng", "language_code": "zh-Latn", "source_api": "places_new"}, {"types": ["country", "political"], "long_text": "China", "short_text": "CN", "language_code": "en", "source_api": "places_new"}, {"types": ["postal_code"], "long_text": "215000", "short_text": "215000", "language_code": "en-US", "source_api": "places_new"}]</t>
  </si>
  <si>
    <t>https://www.google.com/maps/search/?api=1&amp;query=CINOS%28C2%29%20%EB%8C%80%ED%95%9C%EB%AF%BC%EA%B5%AD%20%EA%B2%BD%EA%B8%B0%EB%8F%84%20%ED%99%94%EC%84%B1%EC%8B%9C%20%ED%96%A5%EB%82%A8%EC%9D%8D%20%EA%B5%AC%EB%AC%B8%EC%B2%9C%EB%A6%AC%20930-17</t>
    <phoneticPr fontId="1" type="noConversion"/>
  </si>
  <si>
    <t>https://www.google.com/maps/search/?api=1&amp;query=SJI%20SAIGON%2035%2C%20%C4%90%C6%B0%E1%BB%9Dng%20%C4%90%E1%BB%93ng%20Kh%E1%BB%9Fi%2C%20th%C3%A0nh%20ph%E1%BB%91%20Bi%C3%AAn%20H%C3%B2a%2C%20%C4%90%E1%BB%93ng%20Nai%2C%20Vietnam</t>
    <phoneticPr fontId="1" type="noConversion"/>
  </si>
  <si>
    <t>표준 주소 기반 URL</t>
    <phoneticPr fontId="1" type="noConversion"/>
  </si>
  <si>
    <t>기존 URL이 더 정확</t>
    <phoneticPr fontId="1" type="noConversion"/>
  </si>
  <si>
    <r>
      <t xml:space="preserve">35 </t>
    </r>
    <r>
      <rPr>
        <sz val="10"/>
        <color theme="1" tint="0.249977111117893"/>
        <rFont val="Calibri"/>
        <family val="2"/>
      </rPr>
      <t>Đ</t>
    </r>
    <r>
      <rPr>
        <sz val="10"/>
        <color theme="1" tint="0.249977111117893"/>
        <rFont val="맑은 고딕"/>
        <family val="3"/>
        <charset val="129"/>
        <scheme val="minor"/>
      </rPr>
      <t xml:space="preserve">. </t>
    </r>
    <r>
      <rPr>
        <sz val="10"/>
        <color theme="1" tint="0.249977111117893"/>
        <rFont val="Calibri"/>
        <family val="2"/>
      </rPr>
      <t>Đồ</t>
    </r>
    <r>
      <rPr>
        <sz val="10"/>
        <color theme="1" tint="0.249977111117893"/>
        <rFont val="맑은 고딕"/>
        <family val="3"/>
        <charset val="129"/>
        <scheme val="minor"/>
      </rPr>
      <t>ng Kh</t>
    </r>
    <r>
      <rPr>
        <sz val="10"/>
        <color theme="1" tint="0.249977111117893"/>
        <rFont val="Calibri"/>
        <family val="2"/>
      </rPr>
      <t>ở</t>
    </r>
    <r>
      <rPr>
        <sz val="10"/>
        <color theme="1" tint="0.249977111117893"/>
        <rFont val="맑은 고딕"/>
        <family val="3"/>
        <charset val="129"/>
        <scheme val="minor"/>
      </rPr>
      <t>i, Tân Hi</t>
    </r>
    <r>
      <rPr>
        <sz val="10"/>
        <color theme="1" tint="0.249977111117893"/>
        <rFont val="Calibri"/>
        <family val="2"/>
      </rPr>
      <t>ệ</t>
    </r>
    <r>
      <rPr>
        <sz val="10"/>
        <color theme="1" tint="0.249977111117893"/>
        <rFont val="맑은 고딕"/>
        <family val="3"/>
        <charset val="129"/>
        <scheme val="minor"/>
      </rPr>
      <t xml:space="preserve">p, Biên Hòa, </t>
    </r>
    <r>
      <rPr>
        <sz val="10"/>
        <color theme="1" tint="0.249977111117893"/>
        <rFont val="Calibri"/>
        <family val="2"/>
      </rPr>
      <t>Đồ</t>
    </r>
    <r>
      <rPr>
        <sz val="10"/>
        <color theme="1" tint="0.249977111117893"/>
        <rFont val="맑은 고딕"/>
        <family val="3"/>
        <charset val="129"/>
        <scheme val="minor"/>
      </rPr>
      <t>ng Nai 810000 베트남</t>
    </r>
    <phoneticPr fontId="1" type="noConversion"/>
  </si>
  <si>
    <t>https://www.google.com/maps/search/?api=1&amp;query=SJI%20SAIGON%2035%20%C4%90.%20%C4%90%E1%BB%93ng%20Kh%E1%BB%9Fi%2C%20T%C3%A2n%20Hi%E1%BB%87p%2C%20Bi%C3%AAn%20H%C3%B2a%2C%20%C4%90%E1%BB%93ng%20Nai%20810000%20%EB%B2%A0%ED%8A%B8%EB%82%A8</t>
    <phoneticPr fontId="1" type="noConversion"/>
  </si>
  <si>
    <t>표준 주소 URL이 더 정확 (기존 주소에 "베트남" 노이즈 존재하기 때문)</t>
    <phoneticPr fontId="1" type="noConversion"/>
  </si>
  <si>
    <t>https://www.google.com/maps/place/?q=place_id:ChIJyZyNn1YPNTERIb6KZczsFVE</t>
    <phoneticPr fontId="1" type="noConversion"/>
  </si>
  <si>
    <t>ChIJLdXaZtoNNTERiTzFefw_X7o</t>
  </si>
  <si>
    <t>https://www.google.com/maps/place/?q=place_id:ChIJLdXaZtoNNTERiTzFefw_X7o</t>
    <phoneticPr fontId="1" type="noConversion"/>
  </si>
  <si>
    <t>[{"types": [], "long_text": "Land lot A industrial zone", "short_text": "", "language_code": "vi", "source_api": "places_new"}, {"types": ["locality", "political"], "long_text": "Nếnh", "short_text": "Nếnh", "language_code": "vi", "source_api": "places_new"}, {"types": ["administrative_area_level_1", "political"], "long_text": "Bắc Ninh", "short_text": "Bắc Ninh", "language_code": "vi", "source_api": "places_new"}, {"types": ["country", "political"], "long_text": "Vietnam", "short_text": "VN", "language_code": "en", "source_api": "places_new"}]</t>
  </si>
  <si>
    <t>https://www.google.com/maps/search/?api=1&amp;query=%E5%A4%A9%E6%B0%B4%E5%8D%8E%E5%A4%A9%E7%A7%91%E6%8A%80%E8%82%A1%E4%BB%BD%E6%9C%89%E9%99%90%E5%85%AC%E5%8F%B8%20%E7%A7%A6%E5%B7%9E%E5%8C%BA%E5%A4%A9%E6%B0%B4%E9%83%A1%E8%A1%97%E9%81%93%E7%A7%A6%E5%B7%9E%E5%A4%A7%E9%81%93360%E5%8F%B7%20%20%E5%A4%A9%E6%B0%B4%20%20741001%20CN</t>
    <phoneticPr fontId="1" type="noConversion"/>
  </si>
  <si>
    <r>
      <t>工</t>
    </r>
    <r>
      <rPr>
        <sz val="10"/>
        <color theme="1" tint="0.249977111117893"/>
        <rFont val="Microsoft JhengHei"/>
        <family val="2"/>
        <charset val="136"/>
      </rPr>
      <t>业园区</t>
    </r>
    <r>
      <rPr>
        <sz val="10"/>
        <color theme="1" tint="0.249977111117893"/>
        <rFont val="맑은 고딕"/>
        <family val="3"/>
        <charset val="129"/>
        <scheme val="minor"/>
      </rPr>
      <t>唯亭</t>
    </r>
    <r>
      <rPr>
        <sz val="10"/>
        <color theme="1" tint="0.249977111117893"/>
        <rFont val="Microsoft JhengHei"/>
        <family val="2"/>
        <charset val="136"/>
      </rPr>
      <t>镇</t>
    </r>
    <r>
      <rPr>
        <sz val="10"/>
        <color theme="1" tint="0.249977111117893"/>
        <rFont val="맑은 고딕"/>
        <family val="3"/>
        <charset val="129"/>
        <scheme val="minor"/>
      </rPr>
      <t>春</t>
    </r>
    <r>
      <rPr>
        <sz val="10"/>
        <color theme="1" tint="0.249977111117893"/>
        <rFont val="Microsoft JhengHei"/>
        <family val="2"/>
        <charset val="136"/>
      </rPr>
      <t>辉</t>
    </r>
    <r>
      <rPr>
        <sz val="10"/>
        <color theme="1" tint="0.249977111117893"/>
        <rFont val="맑은 고딕"/>
        <family val="3"/>
        <charset val="129"/>
        <scheme val="minor"/>
      </rPr>
      <t>路2</t>
    </r>
    <r>
      <rPr>
        <sz val="10"/>
        <color theme="1" tint="0.249977111117893"/>
        <rFont val="Noto Sans KR"/>
        <family val="3"/>
        <charset val="129"/>
      </rPr>
      <t>号</t>
    </r>
    <r>
      <rPr>
        <sz val="10"/>
        <color theme="1" tint="0.249977111117893"/>
        <rFont val="맑은 고딕"/>
        <family val="3"/>
        <charset val="129"/>
        <scheme val="minor"/>
      </rPr>
      <t xml:space="preserve">  </t>
    </r>
    <r>
      <rPr>
        <sz val="10"/>
        <color theme="1" tint="0.249977111117893"/>
        <rFont val="Microsoft JhengHei"/>
        <family val="2"/>
        <charset val="136"/>
      </rPr>
      <t>苏</t>
    </r>
    <r>
      <rPr>
        <sz val="10"/>
        <color theme="1" tint="0.249977111117893"/>
        <rFont val="맑은 고딕"/>
        <family val="3"/>
        <charset val="129"/>
        <scheme val="minor"/>
      </rPr>
      <t>州  215122 CN</t>
    </r>
    <phoneticPr fontId="1" type="noConversion"/>
  </si>
  <si>
    <t>https://www.google.com/maps/search/?api=1&amp;query=%E8%8B%8F%E5%B7%9E%E6%96%B0%E7%89%B9%E5%BC%8F%E5%8D%8A%E5%AF%BC%E4%BD%93%E6%9C%89%E9%99%90%E5%85%AC%E5%8F%B8%20%E5%B7%A5%E4%B8%9A%E5%9B%AD%E5%8C%BA%E5%94%AF%E4%BA%AD%E9%95%87%E6%98%A5%E8%BE%89%E8%B7%AF2%E5%8F%B7%20%20%E8%8B%8F%E5%B7%9E%20%20215122%20CN</t>
    <phoneticPr fontId="1" type="noConversion"/>
  </si>
  <si>
    <t>https://www.google.com/maps/search/?api=1&amp;query=Dinnoteck%20Co.%2CLtd.%209F</t>
    <phoneticPr fontId="1" type="noConversion"/>
  </si>
  <si>
    <t>SHINHAN DIAMOND(XI'AN) CO.,LTD.</t>
    <phoneticPr fontId="1" type="noConversion"/>
  </si>
  <si>
    <t>4R26+H2 중국 Shaanxi, 시안 시 창안 구</t>
    <phoneticPr fontId="1" type="noConversion"/>
  </si>
  <si>
    <t>https://www.google.com/maps/search/?api=1&amp;query=SHINHAN%20DIAMOND%28XI%27AN%29%20CO.%2CLTD.%204R26%2BH2%20%EC%A4%91%EA%B5%AD%20Shaanxi%2C%20%EC%8B%9C%EC%95%88%20%EC%8B%9C%20%EC%B0%BD%EC%95%88%20%EA%B5%AC</t>
    <phoneticPr fontId="1" type="noConversion"/>
  </si>
  <si>
    <r>
      <t>工</t>
    </r>
    <r>
      <rPr>
        <sz val="10"/>
        <color theme="1" tint="0.249977111117893"/>
        <rFont val="Microsoft JhengHei"/>
        <family val="2"/>
        <charset val="136"/>
      </rPr>
      <t>业园区</t>
    </r>
    <r>
      <rPr>
        <sz val="10"/>
        <color theme="1" tint="0.249977111117893"/>
        <rFont val="맑은 고딕"/>
        <family val="3"/>
        <charset val="129"/>
        <scheme val="minor"/>
      </rPr>
      <t>利</t>
    </r>
    <r>
      <rPr>
        <sz val="10"/>
        <color theme="1" tint="0.249977111117893"/>
        <rFont val="Yu Gothic"/>
        <family val="2"/>
        <charset val="128"/>
      </rPr>
      <t>达</t>
    </r>
    <r>
      <rPr>
        <sz val="10"/>
        <color theme="1" tint="0.249977111117893"/>
        <rFont val="맑은 고딕"/>
        <family val="3"/>
        <charset val="129"/>
        <scheme val="minor"/>
      </rPr>
      <t>路4</t>
    </r>
    <r>
      <rPr>
        <sz val="10"/>
        <color theme="1" tint="0.249977111117893"/>
        <rFont val="Noto Sans KR"/>
        <family val="3"/>
        <charset val="129"/>
      </rPr>
      <t>号</t>
    </r>
    <r>
      <rPr>
        <sz val="10"/>
        <color theme="1" tint="0.249977111117893"/>
        <rFont val="맑은 고딕"/>
        <family val="3"/>
        <charset val="129"/>
        <scheme val="minor"/>
      </rPr>
      <t xml:space="preserve">     江</t>
    </r>
    <r>
      <rPr>
        <sz val="10"/>
        <color theme="1" tint="0.249977111117893"/>
        <rFont val="Microsoft JhengHei"/>
        <family val="2"/>
        <charset val="136"/>
      </rPr>
      <t>苏</t>
    </r>
    <r>
      <rPr>
        <sz val="10"/>
        <color theme="1" tint="0.249977111117893"/>
        <rFont val="맑은 고딕"/>
        <family val="3"/>
        <charset val="129"/>
        <scheme val="minor"/>
      </rPr>
      <t>省</t>
    </r>
    <r>
      <rPr>
        <sz val="10"/>
        <color theme="1" tint="0.249977111117893"/>
        <rFont val="Microsoft JhengHei"/>
        <family val="2"/>
        <charset val="136"/>
      </rPr>
      <t>苏</t>
    </r>
    <r>
      <rPr>
        <sz val="10"/>
        <color theme="1" tint="0.249977111117893"/>
        <rFont val="맑은 고딕"/>
        <family val="3"/>
        <charset val="129"/>
        <scheme val="minor"/>
      </rPr>
      <t>州市</t>
    </r>
    <phoneticPr fontId="1" type="noConversion"/>
  </si>
  <si>
    <t>https://www.google.com/maps/search/?api=1&amp;query=SUZHOU%20POSTEL%20CO.%2CLTD%20%E5%B7%A5%E4%B8%9A%E5%9B%AD%E5%8C%BA%E5%88%A9%E8%BE%BE%E8%B7%AF4%E5%8F%B7%20%20%20%20%20%E6%B1%9F%E8%8B%8F%E7%9C%81%E8%8B%8F%E5%B7%9E%E5%B8%82</t>
    <phoneticPr fontId="1" type="noConversion"/>
  </si>
  <si>
    <t>https://www.google.com/maps/place/?q=place_id:ChIJuX97ykp5ezURvoBAfyo8OvE</t>
    <phoneticPr fontId="1" type="noConversion"/>
  </si>
  <si>
    <r>
      <t>相城</t>
    </r>
    <r>
      <rPr>
        <sz val="10"/>
        <color theme="1" tint="0.249977111117893"/>
        <rFont val="Noto Sans KR"/>
        <family val="3"/>
        <charset val="129"/>
      </rPr>
      <t>区</t>
    </r>
    <r>
      <rPr>
        <sz val="10"/>
        <color theme="1" tint="0.249977111117893"/>
        <rFont val="맑은 고딕"/>
        <family val="3"/>
        <charset val="129"/>
        <scheme val="minor"/>
      </rPr>
      <t>望亭</t>
    </r>
    <r>
      <rPr>
        <sz val="10"/>
        <color theme="1" tint="0.249977111117893"/>
        <rFont val="Microsoft JhengHei"/>
        <family val="2"/>
        <charset val="136"/>
      </rPr>
      <t>镇问</t>
    </r>
    <r>
      <rPr>
        <sz val="10"/>
        <color theme="1" tint="0.249977111117893"/>
        <rFont val="맑은 고딕"/>
        <family val="3"/>
        <charset val="129"/>
        <scheme val="minor"/>
      </rPr>
      <t>渡路88</t>
    </r>
    <r>
      <rPr>
        <sz val="10"/>
        <color theme="1" tint="0.249977111117893"/>
        <rFont val="Noto Sans KR"/>
        <family val="3"/>
        <charset val="129"/>
      </rPr>
      <t>号</t>
    </r>
    <r>
      <rPr>
        <sz val="10"/>
        <color theme="1" tint="0.249977111117893"/>
        <rFont val="맑은 고딕"/>
        <family val="3"/>
        <charset val="129"/>
        <scheme val="minor"/>
      </rPr>
      <t xml:space="preserve">  </t>
    </r>
    <r>
      <rPr>
        <sz val="10"/>
        <color theme="1" tint="0.249977111117893"/>
        <rFont val="Microsoft JhengHei"/>
        <family val="2"/>
        <charset val="136"/>
      </rPr>
      <t>苏</t>
    </r>
    <r>
      <rPr>
        <sz val="10"/>
        <color theme="1" tint="0.249977111117893"/>
        <rFont val="맑은 고딕"/>
        <family val="3"/>
        <charset val="129"/>
        <scheme val="minor"/>
      </rPr>
      <t>州  215155 CN</t>
    </r>
    <phoneticPr fontId="1" type="noConversion"/>
  </si>
  <si>
    <t>https://www.google.com/maps/place/?q=place_id:ChIJyUh-z12ZszURvqkpBlxLceE</t>
    <phoneticPr fontId="1" type="noConversion"/>
  </si>
  <si>
    <t>참조 URL</t>
    <phoneticPr fontId="1" type="noConversion"/>
  </si>
  <si>
    <t>https://www.google.com/maps/place/?q=place_id:ChIJAxmMAv5CezURpfyPu_dSeXU</t>
    <phoneticPr fontId="1" type="noConversion"/>
  </si>
  <si>
    <t>https://www.google.com/maps/place/?q=place_id:ChIJB3kfDDfGj4ARv8RvYZKoPVg</t>
    <phoneticPr fontId="1" type="noConversion"/>
  </si>
  <si>
    <t>https://www.google.com/maps/place/?q=place_id:ChIJ-UHemVx4YzYRZJii3fXq4B0</t>
    <phoneticPr fontId="1" type="noConversion"/>
  </si>
  <si>
    <t>https://www.google.com/maps/place/?q=place_id:ChIJwclNyROTw4kRbAlL-Y9a5H8</t>
    <phoneticPr fontId="1" type="noConversion"/>
  </si>
  <si>
    <t>https://www.google.com/maps/place/?q=place_id:ChIJTYNXlKUxSDQRQyp-LcKW_c0</t>
    <phoneticPr fontId="1" type="noConversion"/>
  </si>
  <si>
    <t>https://www.google.com/maps/search/?api=1&amp;query=AUO%20%28Xiamen%29%20Co.%2C%20Ltd.%20QJ5G%2BRG%20Shishi%2C%20Quanzhou%2C%20Fujian%2C%20China</t>
    <phoneticPr fontId="1" type="noConversion"/>
  </si>
  <si>
    <t>https://www.google.com/maps/place/?q=place_id:ChIJFWasIsgpZTURvxEVwC2zlWk</t>
    <phoneticPr fontId="1" type="noConversion"/>
  </si>
  <si>
    <r>
      <rPr>
        <sz val="10"/>
        <color theme="1" tint="0.249977111117893"/>
        <rFont val="Tahoma"/>
        <family val="2"/>
        <charset val="129"/>
      </rPr>
      <t>ถนน</t>
    </r>
    <r>
      <rPr>
        <sz val="10"/>
        <color theme="1" tint="0.249977111117893"/>
        <rFont val="맑은 고딕"/>
        <family val="3"/>
        <charset val="129"/>
        <scheme val="minor"/>
      </rPr>
      <t xml:space="preserve"> </t>
    </r>
    <r>
      <rPr>
        <sz val="10"/>
        <color theme="1" tint="0.249977111117893"/>
        <rFont val="Tahoma"/>
        <family val="2"/>
        <charset val="129"/>
      </rPr>
      <t>ศรีสุริฉัน</t>
    </r>
    <r>
      <rPr>
        <sz val="10"/>
        <color theme="1" tint="0.249977111117893"/>
        <rFont val="맑은 고딕"/>
        <family val="3"/>
        <charset val="129"/>
        <scheme val="minor"/>
      </rPr>
      <t xml:space="preserve"> Tambon Khok Kham, Amphoe Mueang Samut Sakhon, Chang Wat Samut Sakhon 74000, Thailand</t>
    </r>
    <phoneticPr fontId="1" type="noConversion"/>
  </si>
  <si>
    <t>업체명이 아닌 주(State) 이름이라 구글맵 업체 검색 결과 제공 실패.
트레이드오프: 업체명 검색 결과 URL vs. 좌표 검색 결과 URL (6행)
보통 주소가 잘못된 경우 좌표도 비정상적인 경우가 대부분이므로, 업체명(+주소) 검색 결과 URL을 제공하는 것이 나아보임.</t>
    <phoneticPr fontId="1" type="noConversion"/>
  </si>
  <si>
    <t>제공된 주소 및 좌표 근처에서 업체 식별되지 않았으나, URL을 통해 부천 시 내 존재하는 동명 업체 정보 제공.</t>
    <phoneticPr fontId="1" type="noConversion"/>
  </si>
  <si>
    <t>EHWA DiamEHWA Diamond Industrial Co., Ltd.</t>
    <phoneticPr fontId="1" type="noConversion"/>
  </si>
  <si>
    <t>1. Geocoding 표준 결과가 존재하고, 표준좌표와 기존좌표의 거리가 먼 경우, 기존 좌표로 TextSearch 수행
2. TextSearch 결과가 존재할 때, Geocoding 표준 결과 비교하여 다르면 MISMATCH 판정 및 복수개 URL 제공하여 사용자가 택1 하였으나,
3. "1"에서 기존좌표 정보를 신뢰하고 사용자의 편의를 위해, MISMATCH 시 TextSearch URL을 제공 (분류 코드는 MISMATCH로 유지하여 추후 검증 용이성 확보).</t>
    <phoneticPr fontId="1" type="noConversion"/>
  </si>
  <si>
    <t>https://www.google.com/maps/place/?q=place_id:ChIJVVVVVV5GezUR15dJk1XRDQw</t>
    <phoneticPr fontId="1" type="noConversion"/>
  </si>
  <si>
    <t>입력된 주소의 품질에 따라 판정 차이 발생 (22행과 비교).
URL을 통해 사용자가 편리하게 검증 가능하나, 충분히 "검증 완료" 받을 수 있었던 케이스.</t>
    <phoneticPr fontId="1" type="noConversion"/>
  </si>
  <si>
    <t>VWX4+QP5, Kecheng District, Quzhou, Zhejiang, China, 324004</t>
    <phoneticPr fontId="1" type="noConversion"/>
  </si>
  <si>
    <t>WV3J+W2, Kecheng District, Quzhou, Zhejiang, China</t>
    <phoneticPr fontId="1" type="noConversion"/>
  </si>
  <si>
    <t>입력된 주소가 특정 범위(상세 정보 확인 불가) 내에서 세부 구역 ID까지 포함하나, 구글 표준주소로 변경되며 실제 등록된 업체의 주소로 맞춰짐.
15, 16행의 주소가 표준화되어 동일 업체임을 확인할 수 있는 좋은 케이스.</t>
    <phoneticPr fontId="1" type="noConversion"/>
  </si>
  <si>
    <t>PO BOX 100257 PASADENA CA</t>
    <phoneticPr fontId="1" type="noConversion"/>
  </si>
  <si>
    <t>제공된 PO BOX 주소로는 표준화 및 실재검증이 불가하나, 구글맵 업체명+주소 일부 검색 기반 URL 제공.
Solstice Electronic은 Honeywell Electronic의 특수 소재 사업부가 분사되어 설립된 기업으로 확인됨.
구글 업체 등록에 두 업체가 동 업체로 되어있어 Honeywell의 결과가 반환됨.</t>
    <phoneticPr fontId="1" type="noConversion"/>
  </si>
  <si>
    <t>표준화된 주소는 확보되었으나 제공된 업체명과 동일한 업체가 구글에 등록되어 있지 않음.
URL을 통해 CW-Planta1, 3가 존재함을 확인 가능.</t>
    <phoneticPr fontId="1" type="noConversion"/>
  </si>
  <si>
    <t>표준화된 주소는 확보되었으나 제공된 업체명과 동일한 업체가 구글에 등록되어 있지 않음.
URL을 통해 C2가 존재함을 확인 가능.</t>
    <phoneticPr fontId="1" type="noConversion"/>
  </si>
  <si>
    <t>표준화된 주소는 확보되었으나 제공된 업체명과 동일한 업체가 구글에 등록되어 있지 않음.
URL을 통해 C1가 존재함을 확인 가능.</t>
    <phoneticPr fontId="1" type="noConversion"/>
  </si>
  <si>
    <t>표준·기존 좌표 모두 TextSearch에서 업체 미발견</t>
    <phoneticPr fontId="1" type="noConversion"/>
  </si>
  <si>
    <t>기존 주소 기반 URL</t>
    <phoneticPr fontId="1" type="noConversion"/>
  </si>
  <si>
    <t>트레이드오프: 업체명 검색 결과 URL vs. 좌표 검색 결과 URL (6행)
보통 주소가 잘못된 경우 좌표도 비정상적인 경우가 대부분이므로, 업체명(+주소) 검색 결과 URL을 제공하는 것이 나아보임.</t>
    <phoneticPr fontId="1" type="noConversion"/>
  </si>
  <si>
    <t>URL을 통해 구글맵 업체 검색 결과라도 사용자에게 제공.
표준/기존 정보 기반 URL 모두 제공.</t>
    <phoneticPr fontId="1" type="noConversion"/>
  </si>
  <si>
    <t>주소가 잘못된 것으로 보임. 확인 필요 판정이 정상.
표준/기존 정보 기반 URL 모두 제공.</t>
    <phoneticPr fontId="1" type="noConversion"/>
  </si>
  <si>
    <t>- 표준: https://www.google.com/maps/search/?api=1&amp;query=HANA%20TECH%20302-3%20Yangjae-dong%2C%20Seocho%20District%2C%20Seoul%2C%20South%20Korea 
- 기존: https://www.google.com/maps/search/?api=1&amp;query=HANA%20TECH%20%EC%84%9C%EC%9A%B8%ED%8A%B9%EB%B3%84%EC%8B%9C%20%EC%84%9C%EC%B4%88%EA%B5%AC%20%EC%96%91%EC%9E%AC%EB%8F%99%20302-3</t>
    <phoneticPr fontId="1" type="noConversion"/>
  </si>
  <si>
    <t>- 표준: https://www.google.com/maps/search/?api=1&amp;query=APO%28INDIUM%20CORPORATION%20OF%20AMERICA%29%20Singapore
- 기존: https://www.google.com/maps/search/?api=1&amp;query=APO%28INDIUM%20CORPORATION%20OF%20AMERICA%29%20Unnamed%20Road%2C%20Singapore%2C%20Singapore</t>
    <phoneticPr fontId="1" type="noConversion"/>
  </si>
  <si>
    <t>- 표준: https://www.google.com/maps/search/?api=1&amp;query=Samutsakorn%20%E0%B8%96%E0%B8%99%E0%B8%99%20%E0%B8%A8%E0%B8%A3%E0%B8%B5%E0%B8%AA%E0%B8%B8%E0%B8%A3%E0%B8%B4%E0%B8%89%E0%B8%B1%E0%B8%99%20Tambon%20Khok%20Kham%2C%20Amphoe%20Mueang%20Samut%20Sakhon%2C%20Chang%20Wat%20Samut%20Sakhon%2074000%2C%20Thailand
- 기존: https://www.google.com/maps/search/?api=1&amp;query=Samutsakorn%20%E0%B8%96%E0%B8%99%E0%B8%99%20%E0%B8%A8%E0%B8%A3%E0%B8%B5%E0%B8%AA%E0%B8%B8%E0%B8%A3%E0%B8%B4%E0%B8%89%E0%B8%B1%E0%B8%99%2C%20Tambon%20Khok%20Kham%2C%20Amphoe%20Mueang%20Samut%20Sakhon%2C%20Chang%20Wat%20Samut%20Sakhon%2C%20Thailand%2C%2074000</t>
    <phoneticPr fontId="1" type="noConversion"/>
  </si>
  <si>
    <t>- 표준: https://www.google.com/maps/search/?api=1&amp;query=Honeywell%20Automation%20and%20Control%20Solution%28China%29%20Co.%2CLtd.%20Shanghai%2C%20China
- 기존: https://www.google.com/maps/search/?api=1&amp;query=Honeywell%20Automation%20and%20Control%20Solution%28China%29%20Co.%2CLtd.%20FUTE%20NORTH%20ROAD%20NO.456%205F%20A2%20ROOM%20SHANGHAI%20PILOT%20FREE%20TRADE%20ZONE</t>
    <phoneticPr fontId="1" type="noConversion"/>
  </si>
  <si>
    <t>- 표준: https://www.google.com/maps/search/?api=1&amp;query=CINOS%28CX1%2CCX2%29%20China%2C%20Shan%20Xi%20Sheng%2C%20Xi%20An%20Shi%2C%20Ba%20Qiao%20Qu%2C%20%E4%BA%9A%E6%B4%B2%E9%81%9393WG%2BFFR%20%E9%82%AE%E6%94%BF%E7%BC%96%E7%A0%81%3A%20710027
- 기존: https://www.google.com/maps/search/?api=1&amp;query=CINOS%28CX1%2CCX2%29%20%EC%A4%91%EA%B5%AD%20Shan%20Xi%20Sheng%2C%20Xi%20An%20Shi%2C%20Ba%20Qiao%20Qu%2C%20%E4%BA%9A%E6%B4%B2%E9%81%9393WF%2B8X9%20%E9%82%AE%E6%94%BF%E7%BC%96%E7%A0%81%3A%20710027</t>
    <phoneticPr fontId="1" type="noConversion"/>
  </si>
  <si>
    <t>- 표준: https://www.google.com/maps/search/?api=1&amp;query=%EC%A0%9C%EC%9D%BC%EC%8D%A8%EB%B3%B4%ED%85%8C%ED%81%AC%20255-1%20Dodang-dong%2C%20Bucheon%2C%20Gyeonggi-do%2C%20South%20Korea
- 기존: https://www.google.com/maps/search/?api=1&amp;query=%EC%A0%9C%EC%9D%BC%EC%8D%A8%EB%B3%B4%ED%85%8C%ED%81%AC%20%EA%B2%BD%EA%B8%B0%EB%8F%84%20%EB%B6%80%EC%B2%9C%EC%8B%9C%20%EB%8F%84%EB%8B%B9%EB%8F%99%20255-1</t>
    <phoneticPr fontId="1" type="noConversion"/>
  </si>
  <si>
    <t>- 표준: https://www.google.com/maps/search/?api=1&amp;query=Entegris%20Malaysia%20Sdn%20Bhd%20CHV7%2B63%20Lunas%2C%20Kedah%2C%20Malaysia
- 기존: https://www.google.com/maps/search/?api=1&amp;query=Entegris%20Malaysia%20Sdn%20Bhd%20CHV7%2B63%20Lunas%2C%20Kedah%2C%20%EB%A7%90%EB%A0%88%EC%9D%B4%EC%8B%9C%EC%95%84</t>
    <phoneticPr fontId="1" type="noConversion"/>
  </si>
  <si>
    <t>- 표준: https://www.google.com/maps/search/?api=1&amp;query=CINOS%28C1%29%20299-2%20Gajae-ri%2C%20Paltan-myeon%2C%20Hwaseong-si%2C%20Gyeonggi-do%2C%20South%20Korea
- 기존: https://www.google.com/maps/search/?api=1&amp;query=CINOS%28C1%29%20%EB%8C%80%ED%95%9C%EB%AF%BC%EA%B5%AD%20%EA%B2%BD%EA%B8%B0%EB%8F%84%20%ED%99%94%EC%84%B1%EC%8B%9C%20%ED%8C%94%ED%83%84%EB%A9%B4%20%EA%B0%80%EC%9E%AC%EB%A6%AC%20299-2</t>
    <phoneticPr fontId="1" type="noConversion"/>
  </si>
  <si>
    <t>- 표준: https://www.google.com/maps/search/?api=1&amp;query=Solstice%20Electronic%20Materials%20-%20Spokane%20Pasadena%2C%20CA%2C%20USA
- 기존: https://www.google.com/maps/search/?api=1&amp;query=Solstice%20Electronic%20Materials%20-%20Spokane%20PO%20BOX%20100257%20PASADENA%20CA</t>
    <phoneticPr fontId="1" type="noConversion"/>
  </si>
  <si>
    <t>- 표준: https://www.google.com/maps/search/?api=1&amp;query=CW%20QUERETARO%20MEXICO%20SA%20DE%20CV%20RHH5%2B52%20Quer%C3%A9taro%2C%20Mexico
- 기존: https://www.google.com/maps/search/?api=1&amp;query=CW%20QUERETARO%20MEXICO%20SA%20DE%20CV%20RHH5%2B52%2C%20El%20Puerto%2C%20Quer%C3%A9taro%2C%20Mexico%2C%2076215</t>
    <phoneticPr fontId="1" type="noConversion"/>
  </si>
  <si>
    <t>- 표준: https://www.google.com/maps/search/?api=1&amp;query=CINOS%28C2%29%20930-17%20Gumuncheon-ri%2C%20Hyangnam-eup%2C%20Hwaseong-si%2C%20Gyeonggi-do%2C%20South%20Korea
- 기존: https://www.google.com/maps/search/?api=1&amp;query=CINOS%28C2%29%20%EB%8C%80%ED%95%9C%EB%AF%BC%EA%B5%AD%20%EA%B2%BD%EA%B8%B0%EB%8F%84%20%ED%99%94%EC%84%B1%EC%8B%9C%20%ED%96%A5%EB%82%A8%EC%9D%8D%20%EA%B5%AC%EB%AC%B8%EC%B2%9C%EB%A6%AC%20930-17</t>
    <phoneticPr fontId="1" type="noConversion"/>
  </si>
  <si>
    <t>- 표준: https://www.google.com/maps/search/?api=1&amp;query=SJI%20SAIGON%2035%20%C4%90.%20%C4%90%E1%BB%93ng%20Kh%E1%BB%9Fi%2C%20T%C3%A2n%20Tri%E1%BB%81u%2C%20%C4%90%E1%BB%93ng%20Nai%2C%20Vietnam
- 기존: https://www.google.com/maps/search/?api=1&amp;query=SJI%20SAIGON%2035%2C%20%C4%90%C6%B0%E1%BB%9Dng%20%C4%90%E1%BB%93ng%20Kh%E1%BB%9Fi%2C%20th%C3%A0nh%20ph%E1%BB%91%20Bi%C3%AAn%20H%C3%B2a%2C%20%C4%90%E1%BB%93ng%20Nai%2C%20Vietnam</t>
    <phoneticPr fontId="1" type="noConversion"/>
  </si>
  <si>
    <t>- 표준: https://www.google.com/maps/search/?api=1&amp;query=SJI%20SAIGON%20XR4R%2BPHW%2C%20Tran%20Bien%2C%20Dong%20Nai%20City%2C%20Vietnam
- 기존: https://www.google.com/maps/search/?api=1&amp;query=SJI%20SAIGON%2035%20%C4%90.%20%C4%90%E1%BB%93ng%20Kh%E1%BB%9Fi%2C%20T%C3%A2n%20Hi%E1%BB%87p%2C%20Bi%C3%AAn%20H%C3%B2a%2C%20%C4%90%E1%BB%93ng%20Nai%20810000%20%EB%B2%A0%ED%8A%B8%EB%82%A8</t>
    <phoneticPr fontId="1" type="noConversion"/>
  </si>
  <si>
    <t>- 표준: https://www.google.com/maps/search/?api=1&amp;query=PSK%28CHINA%29%20CO.%2CLtd.%20Du%20Shi%20Zhi%20Men%20C%20Zuo%2C%20%E5%B0%8F%E5%AF%A8%20Yan%20Ta%20Qu%2C%20Xi%20An%20Shi%2C%20Shan%20Xi%20Sheng%2C%20China%2C%20710065
- 기존: https://www.google.com/maps/search/?api=1&amp;query=PSK%28CHINA%29%20CO.%2CLtd.%20%E9%94%A6%E4%B8%9A%E8%B7%AF1%E5%8F%B7%E9%83%BD%E5%B8%82%E4%B9%8B%E9%97%A8C%E5%BA%A7405%E5%8F%B7%20%20%20%20%20%E8%A5%BF%E5%AE%89%20%E9%AB%98%E6%96%B0%E5%8C%BA</t>
    <phoneticPr fontId="1" type="noConversion"/>
  </si>
  <si>
    <t>- 표준: https://www.google.com/maps/search/?api=1&amp;query=%E5%A4%A9%E6%B0%B4%E5%8D%8E%E5%A4%A9%E7%A7%91%E6%8A%80%E8%82%A1%E4%BB%BD%E6%9C%89%E9%99%90%E5%85%AC%E5%8F%B8%20Qin%20Zhou%20Da%20Dao%2C%20Qin%20Zhou%20Qu%2C%20Tian%20Shui%20Shi%2C%20Gan%20Su%20Sheng%2C%20China
- 기존: https://www.google.com/maps/search/?api=1&amp;query=%E5%A4%A9%E6%B0%B4%E5%8D%8E%E5%A4%A9%E7%A7%91%E6%8A%80%E8%82%A1%E4%BB%BD%E6%9C%89%E9%99%90%E5%85%AC%E5%8F%B8%20%E7%A7%A6%E5%B7%9E%E5%8C%BA%E5%A4%A9%E6%B0%B4%E9%83%A1%E8%A1%97%E9%81%93%E7%A7%A6%E5%B7%9E%E5%A4%A7%E9%81%93360%E5%8F%B7%20%20%E5%A4%A9%E6%B0%B4%20%20741001%20CN</t>
    <phoneticPr fontId="1" type="noConversion"/>
  </si>
  <si>
    <t xml:space="preserve">  - 표준: https://www.google.com/maps/search/?api=1&amp;query=%E8%8B%8F%E5%B7%9E%E6%96%B0%E7%89%B9%E5%BC%8F%E5%8D%8A%E5%AF%BC%E4%BD%93%E6%9C%89%E9%99%90%E5%85%AC%E5%8F%B8%20%E4%BA%AD%20%E9%95%87%2C%202%20Chun%20Hui%20Lu%2C%20Wu%20Zhong%20Qu%2C%20Su%20Zhou%20Shi%2C%20Jiang%20Su%20Sheng%2C%20China%2C%20215121
- 기존: https://www.google.com/maps/search/?api=1&amp;query=%E8%8B%8F%E5%B7%9E%E6%96%B0%E7%89%B9%E5%BC%8F%E5%8D%8A%E5%AF%BC%E4%BD%93%E6%9C%89%E9%99%90%E5%85%AC%E5%8F%B8%20%E5%B7%A5%E4%B8%9A%E5%9B%AD%E5%8C%BA%E5%94%AF%E4%BA%AD%E9%95%87%E6%98%A5%E8%BE%89%E8%B7%AF2%E5%8F%B7%20%20%E8%8B%8F%E5%B7%9E</t>
    <phoneticPr fontId="1" type="noConversion"/>
  </si>
  <si>
    <t>- 표준: https://www.google.com/maps/search/?api=1&amp;query=SHINHAN%20DIAMOND%28XI%27AN%29%20CO.%2CLTD.%204R26%2BH2%20Chang%27An%2C%20Xi%27An%2C%20Shaanxi%2C%20China
- 기존: https://www.google.com/maps/search/?api=1&amp;query=SHINHAN%20DIAMOND%28XI%27AN%29%20CO.%2CLTD.%204R26%2BH2%20%EC%A4%91%EA%B5%AD%20Shaanxi%2C%20%EC%8B%9C%EC%95%88%20%EC%8B%9C%20%EC%B0%BD%EC%95%88%20%EA%B5%AC</t>
    <phoneticPr fontId="1" type="noConversion"/>
  </si>
  <si>
    <t>- 표준: https://www.google.com/maps/search/?api=1&amp;query=SUZHOU%20POSTEL%20CO.%2CLTD%204%20Li%20Da%20Lu%2C%20Wu%20Zhong%20Qu%2C%20Su%20Zhou%20Shi%2C%20Jiang%20Su%20Sheng%2C%20China%2C%20215121
- 기존: https://www.google.com/maps/search/?api=1&amp;query=SUZHOU%20POSTEL%20CO.%2CLTD%20%E5%B7%A5%E4%B8%9A%E5%9B%AD%E5%8C%BA%E5%88%A9%E8%BE%BE%E8%B7%AF4%E5%8F%B7%20%20%20%20%20%E6%B1%9F%E8%8B%8F%E7%9C%81%E8%8B%8F%E5%B7%9E%E5%B8%82</t>
    <phoneticPr fontId="1" type="noConversion"/>
  </si>
  <si>
    <t>구글에 등록된 업체명이 SJI SAIGON이 아닌 Seong Ji Saigon이어서 실재 검증에 실패하였으나,
URL을 통해 사용자가 확인할 수 있음.</t>
    <phoneticPr fontId="1" type="noConversion"/>
  </si>
  <si>
    <t>上同</t>
    <phoneticPr fontId="1" type="noConversion"/>
  </si>
  <si>
    <t>표준화된 주소 확보되었으나 구글맵에 등록되지 않은 업체이므로 실재 검증이 불가한 케이스</t>
    <phoneticPr fontId="1" type="noConversion"/>
  </si>
  <si>
    <t>AUO (Xiamen) Co., Ltd.</t>
    <phoneticPr fontId="1" type="noConversion"/>
  </si>
  <si>
    <t>TF_std</t>
    <phoneticPr fontId="1" type="noConversion"/>
  </si>
  <si>
    <r>
      <t>Google 기본 반환은 "Tianshui Huatian Technology Co.,Ltd."이고, 중국어 설정시 "天水</t>
    </r>
    <r>
      <rPr>
        <sz val="10"/>
        <color theme="1" tint="0.249977111117893"/>
        <rFont val="Microsoft YaHei"/>
        <family val="3"/>
        <charset val="134"/>
      </rPr>
      <t>华天科技股份有限公司</t>
    </r>
    <r>
      <rPr>
        <sz val="10"/>
        <color theme="1" tint="0.249977111117893"/>
        <rFont val="맑은 고딕"/>
        <family val="3"/>
        <charset val="129"/>
        <scheme val="minor"/>
      </rPr>
      <t>"로 반환하여 곧바로 "검증 완료" 가능
사용자가 URL을 클릭하여 쉽게 확인할 수 있으나, 편의를 위해 언어 매핑 기능을 추가하여 SIM 업체명 매핑 실패시 현지어 매핑도 시도하도록 함.</t>
    </r>
    <phoneticPr fontId="1" type="noConversion"/>
  </si>
  <si>
    <t>중국</t>
    <phoneticPr fontId="1" type="noConversion"/>
  </si>
  <si>
    <t>한국</t>
    <phoneticPr fontId="1" type="noConversion"/>
  </si>
  <si>
    <t>태국</t>
    <phoneticPr fontId="1" type="noConversion"/>
  </si>
  <si>
    <t>말레이시아</t>
    <phoneticPr fontId="1" type="noConversion"/>
  </si>
  <si>
    <t>멕시코</t>
    <phoneticPr fontId="1" type="noConversion"/>
  </si>
  <si>
    <t>일본</t>
    <phoneticPr fontId="1" type="noConversion"/>
  </si>
  <si>
    <t>대만</t>
    <phoneticPr fontId="1" type="noConversion"/>
  </si>
  <si>
    <t>홍콩</t>
    <phoneticPr fontId="1" type="noConversion"/>
  </si>
  <si>
    <t>CN: zh</t>
    <phoneticPr fontId="1" type="noConversion"/>
  </si>
  <si>
    <t>KR: ko</t>
    <phoneticPr fontId="1" type="noConversion"/>
  </si>
  <si>
    <t>VN: vi</t>
    <phoneticPr fontId="1" type="noConversion"/>
  </si>
  <si>
    <t>TH: th</t>
    <phoneticPr fontId="1" type="noConversion"/>
  </si>
  <si>
    <t>MY: ms</t>
    <phoneticPr fontId="1" type="noConversion"/>
  </si>
  <si>
    <t>MX: es</t>
    <phoneticPr fontId="1" type="noConversion"/>
  </si>
  <si>
    <t>JP: ja</t>
    <phoneticPr fontId="1" type="noConversion"/>
  </si>
  <si>
    <t>TW: zh-TW</t>
    <phoneticPr fontId="1" type="noConversion"/>
  </si>
  <si>
    <t>HK: zh-HK</t>
    <phoneticPr fontId="1" type="noConversion"/>
  </si>
  <si>
    <t>Google API 호출용 국가매핑 테이블</t>
    <phoneticPr fontId="1" type="noConversion"/>
  </si>
  <si>
    <t xml:space="preserve">UNVERIFIED_PLACEID_MISMATCH </t>
    <phoneticPr fontId="1" type="noConversion"/>
  </si>
  <si>
    <t>동명이업체/위치오류 의심(두 후보 제시)</t>
    <phoneticPr fontId="1" type="noConversion"/>
  </si>
  <si>
    <t>* 매핑 실패시에만 현지어로 시도</t>
    <phoneticPr fontId="1" type="noConversion"/>
  </si>
  <si>
    <r>
      <t>工</t>
    </r>
    <r>
      <rPr>
        <sz val="10"/>
        <color theme="1" tint="0.249977111117893"/>
        <rFont val="Microsoft JhengHei"/>
        <family val="2"/>
        <charset val="136"/>
      </rPr>
      <t>业园区</t>
    </r>
    <r>
      <rPr>
        <sz val="10"/>
        <color theme="1" tint="0.249977111117893"/>
        <rFont val="맑은 고딕"/>
        <family val="3"/>
        <charset val="129"/>
        <scheme val="minor"/>
      </rPr>
      <t>唯亭</t>
    </r>
    <r>
      <rPr>
        <sz val="10"/>
        <color theme="1" tint="0.249977111117893"/>
        <rFont val="Microsoft JhengHei"/>
        <family val="2"/>
        <charset val="136"/>
      </rPr>
      <t>镇</t>
    </r>
    <r>
      <rPr>
        <sz val="10"/>
        <color theme="1" tint="0.249977111117893"/>
        <rFont val="맑은 고딕"/>
        <family val="3"/>
        <charset val="129"/>
        <scheme val="minor"/>
      </rPr>
      <t>春</t>
    </r>
    <r>
      <rPr>
        <sz val="10"/>
        <color theme="1" tint="0.249977111117893"/>
        <rFont val="Microsoft JhengHei"/>
        <family val="2"/>
        <charset val="136"/>
      </rPr>
      <t>辉</t>
    </r>
    <r>
      <rPr>
        <sz val="10"/>
        <color theme="1" tint="0.249977111117893"/>
        <rFont val="맑은 고딕"/>
        <family val="3"/>
        <charset val="129"/>
        <scheme val="minor"/>
      </rPr>
      <t>路2</t>
    </r>
    <r>
      <rPr>
        <sz val="10"/>
        <color theme="1" tint="0.249977111117893"/>
        <rFont val="Noto Sans KR"/>
        <family val="3"/>
        <charset val="129"/>
      </rPr>
      <t>号</t>
    </r>
    <r>
      <rPr>
        <sz val="10"/>
        <color theme="1" tint="0.249977111117893"/>
        <rFont val="맑은 고딕"/>
        <family val="3"/>
        <charset val="129"/>
        <scheme val="minor"/>
      </rPr>
      <t xml:space="preserve">  </t>
    </r>
    <r>
      <rPr>
        <sz val="10"/>
        <color theme="1" tint="0.249977111117893"/>
        <rFont val="Microsoft JhengHei"/>
        <family val="2"/>
        <charset val="136"/>
      </rPr>
      <t>苏</t>
    </r>
    <r>
      <rPr>
        <sz val="10"/>
        <color theme="1" tint="0.249977111117893"/>
        <rFont val="맑은 고딕"/>
        <family val="3"/>
        <charset val="129"/>
        <scheme val="minor"/>
      </rPr>
      <t>州</t>
    </r>
    <phoneticPr fontId="1" type="noConversion"/>
  </si>
  <si>
    <r>
      <t>표준화된 주소인 Wu Zhong Qu는 기존 주소의 工</t>
    </r>
    <r>
      <rPr>
        <sz val="10"/>
        <color theme="1" tint="0.249977111117893"/>
        <rFont val="Microsoft YaHei"/>
        <family val="3"/>
        <charset val="134"/>
      </rPr>
      <t>业园区</t>
    </r>
    <r>
      <rPr>
        <sz val="10"/>
        <color theme="1" tint="0.249977111117893"/>
        <rFont val="맑은 고딕"/>
        <family val="3"/>
        <charset val="129"/>
        <scheme val="minor"/>
      </rPr>
      <t>(공업원구)와 다른 행정구역임. 구글맵 서비스의 매핑 오류로 간혹 발생하는 사례라고 함. Google API 한계.
좌표값이 존재하여 Case C로 처리되었을 때, 어떤 결과가 나오는지 확인 필요.</t>
    </r>
    <phoneticPr fontId="1" type="noConversion"/>
  </si>
  <si>
    <t>소계</t>
    <phoneticPr fontId="1" type="noConversion"/>
  </si>
  <si>
    <t>검증 완료</t>
    <phoneticPr fontId="1" type="noConversion"/>
  </si>
  <si>
    <t>확인 필요</t>
    <phoneticPr fontId="1" type="noConversion"/>
  </si>
  <si>
    <t>실패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</si>
</sst>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2"/>
      <scheme val="minor"/>
    </font>
    <font>
      <sz val="10"/>
      <color theme="1" tint="0.249977111117893"/>
      <name val="Noto Sans KR"/>
      <family val="3"/>
      <charset val="129"/>
    </font>
    <font>
      <sz val="10"/>
      <color theme="1" tint="0.249977111117893"/>
      <name val="Microsoft JhengHei"/>
      <family val="2"/>
      <charset val="136"/>
    </font>
    <font>
      <sz val="10"/>
      <color theme="0"/>
      <name val="맑은 고딕"/>
      <family val="3"/>
      <charset val="129"/>
      <scheme val="minor"/>
    </font>
    <font>
      <u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Calibri"/>
      <family val="2"/>
    </font>
    <font>
      <sz val="10"/>
      <color theme="1" tint="0.249977111117893"/>
      <name val="Yu Gothic"/>
      <family val="2"/>
      <charset val="128"/>
    </font>
    <font>
      <sz val="10"/>
      <color theme="1" tint="0.249977111117893"/>
      <name val="맑은 고딕"/>
      <family val="2"/>
      <charset val="129"/>
      <scheme val="minor"/>
    </font>
    <font>
      <sz val="10"/>
      <color theme="1" tint="0.249977111117893"/>
      <name val="Tahoma"/>
      <family val="2"/>
      <charset val="129"/>
    </font>
    <font>
      <sz val="10"/>
      <color theme="1" tint="0.249977111117893"/>
      <name val="Microsoft YaHei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</fills>
  <borders count="15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medium">
        <color theme="1" tint="0.49998474074526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medium">
        <color theme="1" tint="0.49998474074526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1" tint="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 tint="0.499984740745262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1" tint="0.499984740745262"/>
      </right>
      <top style="thin">
        <color theme="0" tint="-0.14996795556505021"/>
      </top>
      <bottom style="medium">
        <color theme="1" tint="0.499984740745262"/>
      </bottom>
      <diagonal/>
    </border>
    <border>
      <left style="thin">
        <color theme="1" tint="0.499984740745262"/>
      </left>
      <right/>
      <top style="thin">
        <color theme="0" tint="-0.14996795556505021"/>
      </top>
      <bottom style="medium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0" tint="-0.14996795556505021"/>
      </bottom>
      <diagonal/>
    </border>
    <border>
      <left style="thin">
        <color theme="1" tint="0.499984740745262"/>
      </left>
      <right/>
      <top/>
      <bottom style="thin">
        <color theme="0" tint="-0.149967955565050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3">
    <xf numFmtId="0" fontId="0" fillId="0" borderId="0" xfId="0"/>
    <xf numFmtId="0" fontId="5" fillId="0" borderId="0" xfId="0" applyFont="1"/>
    <xf numFmtId="0" fontId="5" fillId="0" borderId="0" xfId="0" quotePrefix="1" applyFont="1"/>
    <xf numFmtId="0" fontId="5" fillId="0" borderId="1" xfId="0" applyFont="1" applyBorder="1"/>
    <xf numFmtId="0" fontId="5" fillId="3" borderId="1" xfId="0" applyFont="1" applyFill="1" applyBorder="1"/>
    <xf numFmtId="0" fontId="5" fillId="6" borderId="1" xfId="0" applyFont="1" applyFill="1" applyBorder="1"/>
    <xf numFmtId="0" fontId="5" fillId="0" borderId="1" xfId="0" applyFont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quotePrefix="1" applyFont="1" applyAlignment="1">
      <alignment vertical="center"/>
    </xf>
    <xf numFmtId="0" fontId="3" fillId="5" borderId="0" xfId="0" applyFont="1" applyFill="1" applyAlignment="1">
      <alignment vertical="center"/>
    </xf>
    <xf numFmtId="0" fontId="9" fillId="5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10" fillId="0" borderId="1" xfId="1" applyFont="1" applyBorder="1"/>
    <xf numFmtId="0" fontId="10" fillId="0" borderId="0" xfId="1" quotePrefix="1" applyFont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0" xfId="0" quotePrefix="1" applyFont="1" applyAlignment="1">
      <alignment horizontal="center"/>
    </xf>
    <xf numFmtId="0" fontId="10" fillId="6" borderId="1" xfId="1" applyFont="1" applyFill="1" applyBorder="1"/>
    <xf numFmtId="0" fontId="10" fillId="6" borderId="0" xfId="1" applyFont="1" applyFill="1" applyAlignment="1">
      <alignment horizontal="center"/>
    </xf>
    <xf numFmtId="0" fontId="10" fillId="3" borderId="1" xfId="1" applyFont="1" applyFill="1" applyBorder="1"/>
    <xf numFmtId="0" fontId="10" fillId="3" borderId="0" xfId="1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5" borderId="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7" borderId="8" xfId="0" applyFont="1" applyFill="1" applyBorder="1" applyAlignment="1">
      <alignment vertical="center"/>
    </xf>
    <xf numFmtId="0" fontId="3" fillId="7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4" borderId="8" xfId="0" applyFont="1" applyFill="1" applyBorder="1" applyAlignment="1">
      <alignment vertical="center"/>
    </xf>
    <xf numFmtId="0" fontId="5" fillId="4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4" borderId="8" xfId="0" quotePrefix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0" fillId="0" borderId="8" xfId="1" applyFon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0" fontId="5" fillId="3" borderId="8" xfId="0" applyFont="1" applyFill="1" applyBorder="1" applyAlignment="1">
      <alignment horizontal="center" vertical="center"/>
    </xf>
    <xf numFmtId="0" fontId="10" fillId="3" borderId="8" xfId="1" applyFont="1" applyFill="1" applyBorder="1" applyAlignment="1">
      <alignment vertical="center"/>
    </xf>
    <xf numFmtId="0" fontId="5" fillId="3" borderId="8" xfId="0" quotePrefix="1" applyFont="1" applyFill="1" applyBorder="1" applyAlignment="1">
      <alignment vertical="center" wrapText="1"/>
    </xf>
    <xf numFmtId="0" fontId="10" fillId="3" borderId="8" xfId="1" applyFont="1" applyFill="1" applyBorder="1" applyAlignment="1">
      <alignment horizontal="left" vertical="center"/>
    </xf>
    <xf numFmtId="0" fontId="5" fillId="6" borderId="8" xfId="0" applyFont="1" applyFill="1" applyBorder="1" applyAlignment="1">
      <alignment vertical="center"/>
    </xf>
    <xf numFmtId="0" fontId="5" fillId="6" borderId="8" xfId="0" applyFont="1" applyFill="1" applyBorder="1" applyAlignment="1">
      <alignment horizontal="center" vertical="center"/>
    </xf>
    <xf numFmtId="0" fontId="10" fillId="6" borderId="8" xfId="1" applyFont="1" applyFill="1" applyBorder="1" applyAlignment="1">
      <alignment vertical="center"/>
    </xf>
    <xf numFmtId="0" fontId="5" fillId="6" borderId="8" xfId="0" quotePrefix="1" applyFont="1" applyFill="1" applyBorder="1" applyAlignment="1">
      <alignment vertical="center" wrapText="1"/>
    </xf>
    <xf numFmtId="0" fontId="10" fillId="3" borderId="8" xfId="1" quotePrefix="1" applyFont="1" applyFill="1" applyBorder="1" applyAlignment="1">
      <alignment vertical="center" wrapText="1"/>
    </xf>
    <xf numFmtId="0" fontId="10" fillId="6" borderId="8" xfId="1" quotePrefix="1" applyFont="1" applyFill="1" applyBorder="1" applyAlignment="1">
      <alignment vertical="center" wrapText="1"/>
    </xf>
    <xf numFmtId="0" fontId="10" fillId="0" borderId="8" xfId="1" quotePrefix="1" applyFont="1" applyFill="1" applyBorder="1" applyAlignment="1">
      <alignment vertical="center" wrapText="1"/>
    </xf>
    <xf numFmtId="0" fontId="10" fillId="0" borderId="1" xfId="1" applyFont="1" applyBorder="1" applyAlignment="1">
      <alignment vertical="center"/>
    </xf>
    <xf numFmtId="0" fontId="13" fillId="3" borderId="8" xfId="0" applyFont="1" applyFill="1" applyBorder="1" applyAlignment="1">
      <alignment vertical="center"/>
    </xf>
    <xf numFmtId="0" fontId="10" fillId="3" borderId="1" xfId="1" applyFont="1" applyFill="1" applyBorder="1" applyAlignment="1">
      <alignment vertical="center"/>
    </xf>
    <xf numFmtId="0" fontId="10" fillId="6" borderId="1" xfId="1" applyFont="1" applyFill="1" applyBorder="1" applyAlignment="1">
      <alignment vertical="center"/>
    </xf>
    <xf numFmtId="0" fontId="10" fillId="0" borderId="1" xfId="1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8" xfId="0" applyFont="1" applyFill="1" applyBorder="1" applyAlignment="1">
      <alignment vertical="center"/>
    </xf>
    <xf numFmtId="0" fontId="10" fillId="6" borderId="1" xfId="0" applyFont="1" applyFill="1" applyBorder="1" applyAlignment="1">
      <alignment vertical="center"/>
    </xf>
    <xf numFmtId="0" fontId="9" fillId="8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3" fillId="8" borderId="0" xfId="0" applyFont="1" applyFill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CW%20QUERETARO%20MEXICO%20SA%20DE%20CV%20RHH5%2B52%2C%20El%20Puerto%2C%20Quer%C3%A9taro%2C%20Mexico%2C%2076215" TargetMode="External"/><Relationship Id="rId13" Type="http://schemas.openxmlformats.org/officeDocument/2006/relationships/hyperlink" Target="https://www.google.com/maps/search/?api=1&amp;query=SJI%20SAIGON%2035%20%C4%90.%20%C4%90%E1%BB%93ng%20Kh%E1%BB%9Fi%2C%20T%C3%A2n%20Hi%E1%BB%87p%2C%20Bi%C3%AAn%20H%C3%B2a%2C%20%C4%90%E1%BB%93ng%20Nai%20810000%20%EB%B2%A0%ED%8A%B8%EB%82%A8" TargetMode="External"/><Relationship Id="rId18" Type="http://schemas.openxmlformats.org/officeDocument/2006/relationships/hyperlink" Target="https://www.google.com/maps/place/?q=place_id:ChIJuX97ykp5ezURvoBAfyo8OvE" TargetMode="External"/><Relationship Id="rId3" Type="http://schemas.openxmlformats.org/officeDocument/2006/relationships/hyperlink" Target="https://www.google.com/maps/search/?api=1&amp;query=CINOS%28CX1%2CCX2%29%20%EC%A4%91%EA%B5%AD%20Shan%20Xi%20Sheng%2C%20Xi%20An%20Shi%2C%20Ba%20Qiao%20Qu%2C%20%E4%BA%9A%E6%B4%B2%E9%81%9393WF%2B8X9%20%E9%82%AE%E6%94%BF%E7%BC%96%E7%A0%81%3A%20710027" TargetMode="External"/><Relationship Id="rId21" Type="http://schemas.openxmlformats.org/officeDocument/2006/relationships/hyperlink" Target="https://www.google.com/maps/search/?api=1&amp;query=SJI%20SAIGON%20XR4R%2BPHW%2C%20Tran%20Bien%2C%20Dong%20Nai%20City%2C%20Vietnam" TargetMode="External"/><Relationship Id="rId7" Type="http://schemas.openxmlformats.org/officeDocument/2006/relationships/hyperlink" Target="https://www.google.com/maps/search/?api=1&amp;query=Solstice%20Electronic%20Materials%20-%20Spokane%20PO%20BOX%20100257%20PASADENA%20CA" TargetMode="External"/><Relationship Id="rId12" Type="http://schemas.openxmlformats.org/officeDocument/2006/relationships/hyperlink" Target="https://www.google.com/maps/search/?api=1&amp;query=SJI%20SAIGON%2035%2C%20%C4%90%C6%B0%E1%BB%9Dng%20%C4%90%E1%BB%93ng%20Kh%E1%BB%9Fi%2C%20th%C3%A0nh%20ph%E1%BB%91%20Bi%C3%AAn%20H%C3%B2a%2C%20%C4%90%E1%BB%93ng%20Nai%2C%20Vietnam" TargetMode="External"/><Relationship Id="rId17" Type="http://schemas.openxmlformats.org/officeDocument/2006/relationships/hyperlink" Target="https://www.google.com/maps/search/?api=1&amp;query=SUZHOU%20POSTEL%20CO.%2CLTD%20%E5%B7%A5%E4%B8%9A%E5%9B%AD%E5%8C%BA%E5%88%A9%E8%BE%BE%E8%B7%AF4%E5%8F%B7%20%20%20%20%20%E6%B1%9F%E8%8B%8F%E7%9C%81%E8%8B%8F%E5%B7%9E%E5%B8%82" TargetMode="External"/><Relationship Id="rId2" Type="http://schemas.openxmlformats.org/officeDocument/2006/relationships/hyperlink" Target="https://www.google.com/maps/search/?api=1&amp;query=Honeywell%20Automation%20and%20Control%20Solution%28China%29%20Co.%2CLtd.%20FUTE%20NORTH%20ROAD%20NO.456%205F%20A2%20ROOM%20SHANGHAI%20PILOT%20FREE%20TRADE%20ZONE" TargetMode="External"/><Relationship Id="rId16" Type="http://schemas.openxmlformats.org/officeDocument/2006/relationships/hyperlink" Target="https://www.google.com/maps/search/?api=1&amp;query=SHINHAN%20DIAMOND%28XI%27AN%29%20CO.%2CLTD.%204R26%2BH2%20%EC%A4%91%EA%B5%AD%20Shaanxi%2C%20%EC%8B%9C%EC%95%88%20%EC%8B%9C%20%EC%B0%BD%EC%95%88%20%EA%B5%AC" TargetMode="External"/><Relationship Id="rId20" Type="http://schemas.openxmlformats.org/officeDocument/2006/relationships/hyperlink" Target="https://www.google.com/maps/search/?api=1&amp;query=SJI%20SAIGON%2035%20%C4%90.%20%C4%90%E1%BB%93ng%20Kh%E1%BB%9Fi%2C%20T%C3%A2n%20Tri%E1%BB%81u%2C%20%C4%90%E1%BB%93ng%20Nai%2C%20Vietnam" TargetMode="External"/><Relationship Id="rId1" Type="http://schemas.openxmlformats.org/officeDocument/2006/relationships/hyperlink" Target="https://www.google.com/maps/place/?q=place_id:ChIJmegxpsmdszURxrpKRCsOcA8" TargetMode="External"/><Relationship Id="rId6" Type="http://schemas.openxmlformats.org/officeDocument/2006/relationships/hyperlink" Target="https://www.google.com/maps/search/?api=1&amp;query=CINOS%28C1%29%20%EB%8C%80%ED%95%9C%EB%AF%BC%EA%B5%AD%20%EA%B2%BD%EA%B8%B0%EB%8F%84%20%ED%99%94%EC%84%B1%EC%8B%9C%20%ED%8C%94%ED%83%84%EB%A9%B4%20%EA%B0%80%EC%9E%AC%EB%A6%AC%20299-2" TargetMode="External"/><Relationship Id="rId11" Type="http://schemas.openxmlformats.org/officeDocument/2006/relationships/hyperlink" Target="https://www.google.com/maps/search/?api=1&amp;query=CINOS%28C2%29%20%EB%8C%80%ED%95%9C%EB%AF%BC%EA%B5%AD%20%EA%B2%BD%EA%B8%B0%EB%8F%84%20%ED%99%94%EC%84%B1%EC%8B%9C%20%ED%96%A5%EB%82%A8%EC%9D%8D%20%EA%B5%AC%EB%AC%B8%EC%B2%9C%EB%A6%AC%20930-17" TargetMode="External"/><Relationship Id="rId5" Type="http://schemas.openxmlformats.org/officeDocument/2006/relationships/hyperlink" Target="https://www.google.com/maps/place/?q=place_id:ChIJ83c4KwAXezURJ2oNR5ylGaY" TargetMode="External"/><Relationship Id="rId15" Type="http://schemas.openxmlformats.org/officeDocument/2006/relationships/hyperlink" Target="https://www.google.com/maps/place/?q=place_id:ChIJLdXaZtoNNTERiTzFefw_X7o" TargetMode="External"/><Relationship Id="rId23" Type="http://schemas.openxmlformats.org/officeDocument/2006/relationships/hyperlink" Target="https://www.google.com/maps/search/?api=1&amp;query=Dinnoteck%20Co.%2CLtd.%209F" TargetMode="External"/><Relationship Id="rId10" Type="http://schemas.openxmlformats.org/officeDocument/2006/relationships/hyperlink" Target="https://www.google.com/maps/place/?q=place_id:ChIJ99jhXa2pszURVhN82bFMSDI" TargetMode="External"/><Relationship Id="rId19" Type="http://schemas.openxmlformats.org/officeDocument/2006/relationships/hyperlink" Target="https://www.google.com/maps/place/?q=place_id:ChIJyUh-z12ZszURvqkpBlxLceE" TargetMode="External"/><Relationship Id="rId4" Type="http://schemas.openxmlformats.org/officeDocument/2006/relationships/hyperlink" Target="https://www.google.com/maps/place/?q=place_id:ChIJsTtJC6y4QIYRSI2XSZdeW3Q" TargetMode="External"/><Relationship Id="rId9" Type="http://schemas.openxmlformats.org/officeDocument/2006/relationships/hyperlink" Target="https://www.google.com/maps/place/?q=place_id:ChIJq6qqqubMSjAR7P43RFFhmpU" TargetMode="External"/><Relationship Id="rId14" Type="http://schemas.openxmlformats.org/officeDocument/2006/relationships/hyperlink" Target="https://www.google.com/maps/place/?q=place_id:ChIJyZyNn1YPNTERIb6KZczsFVE" TargetMode="External"/><Relationship Id="rId22" Type="http://schemas.openxmlformats.org/officeDocument/2006/relationships/hyperlink" Target="https://www.google.com/maps/search/?api=1&amp;query=%E8%8B%8F%E5%B7%9E%E6%96%B0%E7%89%B9%E5%BC%8F%E5%8D%8A%E5%AF%BC%E4%BD%93%E6%9C%89%E9%99%90%E5%85%AC%E5%8F%B8%20%E4%BA%AD%20%E9%95%87%2C%202%20Chun%20Hui%20Lu%2C%20Wu%20Zhong%20Qu%2C%20Su%20Zhou%20Shi%2C%20Jiang%20Su%20Sheng%2C%20China%2C%20215121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search/?api=1&amp;query=SJI%20SAIGON%2035%20%C4%90.%20%C4%90%E1%BB%93ng%20Kh%E1%BB%9Fi%2C%20T%C3%A2n%20Hi%E1%BB%87p%2C%20Bi%C3%AAn%20H%C3%B2a%2C%20%C4%90%E1%BB%93ng%20Nai%20810000%20%EB%B2%A0%ED%8A%B8%EB%82%A8" TargetMode="External"/><Relationship Id="rId18" Type="http://schemas.openxmlformats.org/officeDocument/2006/relationships/hyperlink" Target="https://www.google.com/maps/place/?q=place_id:ChIJuX97ykp5ezURvoBAfyo8OvE" TargetMode="External"/><Relationship Id="rId26" Type="http://schemas.openxmlformats.org/officeDocument/2006/relationships/hyperlink" Target="https://www.google.com/maps/place/?q=place_id:ChIJ-UHemVx4YzYRZJii3fXq4B0" TargetMode="External"/><Relationship Id="rId39" Type="http://schemas.openxmlformats.org/officeDocument/2006/relationships/hyperlink" Target="https://www.google.com/maps/place/?q=place_id:ChIJq6qqqubMSjAR7P43RFFhmpU" TargetMode="External"/><Relationship Id="rId21" Type="http://schemas.openxmlformats.org/officeDocument/2006/relationships/hyperlink" Target="https://www.google.com/maps/place/?q=place_id:ChIJAxmMAv5CezURpfyPu_dSeXU" TargetMode="External"/><Relationship Id="rId34" Type="http://schemas.openxmlformats.org/officeDocument/2006/relationships/hyperlink" Target="https://www.google.com/maps/place/?q=place_id:ChIJTYNXlKUxSDQRQyp-LcKW_c0" TargetMode="External"/><Relationship Id="rId42" Type="http://schemas.openxmlformats.org/officeDocument/2006/relationships/hyperlink" Target="https://www.google.com/maps/search/?api=1&amp;query=SJI%20SAIGON%2035%20%C4%90.%20%C4%90%E1%BB%93ng%20Kh%E1%BB%9Fi%2C%20T%C3%A2n%20Tri%E1%BB%81u%2C%20%C4%90%E1%BB%93ng%20Nai%2C%20Vietnam" TargetMode="External"/><Relationship Id="rId47" Type="http://schemas.openxmlformats.org/officeDocument/2006/relationships/hyperlink" Target="https://www.google.com/maps/search/?api=1&amp;query=PSK%28CHINA%29%20CO.%2CLtd.%20Du%20Shi%20Zhi%20Men%20C%20Zuo%2C%20%E5%B0%8F%E5%AF%A8%20Yan%20Ta%20Qu%2C%20Xi%20An%20Shi%2C%20Shan%20Xi%20Sheng%2C%20China%2C%20710065" TargetMode="External"/><Relationship Id="rId50" Type="http://schemas.openxmlformats.org/officeDocument/2006/relationships/hyperlink" Target="https://www.google.com/maps/place/?q=place_id:ChIJFWasIsgpZTURvxEVwC2zlWk" TargetMode="External"/><Relationship Id="rId55" Type="http://schemas.openxmlformats.org/officeDocument/2006/relationships/hyperlink" Target="https://www.google.com/maps/place/?q=place_id:ChIJuX97ykp5ezURvoBAfyo8OvE" TargetMode="External"/><Relationship Id="rId7" Type="http://schemas.openxmlformats.org/officeDocument/2006/relationships/hyperlink" Target="https://www.google.com/maps/search/?api=1&amp;query=CINOS%28C1%29%20%EB%8C%80%ED%95%9C%EB%AF%BC%EA%B5%AD%20%EA%B2%BD%EA%B8%B0%EB%8F%84%20%ED%99%94%EC%84%B1%EC%8B%9C%20%ED%8C%94%ED%83%84%EB%A9%B4%20%EA%B0%80%EC%9E%AC%EB%A6%AC%20299-2" TargetMode="External"/><Relationship Id="rId2" Type="http://schemas.openxmlformats.org/officeDocument/2006/relationships/hyperlink" Target="https://www.google.com/maps/search/?api=1&amp;query=Honeywell%20Automation%20and%20Control%20Solution%28China%29%20Co.%2CLtd.%20FUTE%20NORTH%20ROAD%20NO.456%205F%20A2%20ROOM%20SHANGHAI%20PILOT%20FREE%20TRADE%20ZONE" TargetMode="External"/><Relationship Id="rId16" Type="http://schemas.openxmlformats.org/officeDocument/2006/relationships/hyperlink" Target="https://www.google.com/maps/search/?api=1&amp;query=SHINHAN%20DIAMOND%28XI%27AN%29%20CO.%2CLTD.%204R26%2BH2%20%EC%A4%91%EA%B5%AD%20Shaanxi%2C%20%EC%8B%9C%EC%95%88%20%EC%8B%9C%20%EC%B0%BD%EC%95%88%20%EA%B5%AC" TargetMode="External"/><Relationship Id="rId29" Type="http://schemas.openxmlformats.org/officeDocument/2006/relationships/hyperlink" Target="https://www.google.com/maps/place/?q=place_id:ChIJwclNyROTw4kRbAlL-Y9a5H8" TargetMode="External"/><Relationship Id="rId11" Type="http://schemas.openxmlformats.org/officeDocument/2006/relationships/hyperlink" Target="https://www.google.com/maps/place/?q=place_id:ChIJ99jhXa2pszURVhN82bFMSDI" TargetMode="External"/><Relationship Id="rId24" Type="http://schemas.openxmlformats.org/officeDocument/2006/relationships/hyperlink" Target="https://www.google.com/maps/place/?q=place_id:ChIJmegxpsmdszURxrpKRCsOcA8" TargetMode="External"/><Relationship Id="rId32" Type="http://schemas.openxmlformats.org/officeDocument/2006/relationships/hyperlink" Target="https://www.google.com/maps/place/?q=place_id:ChIJTYNXlKUxSDQRQyp-LcKW_c0" TargetMode="External"/><Relationship Id="rId37" Type="http://schemas.openxmlformats.org/officeDocument/2006/relationships/hyperlink" Target="https://www.google.com/maps/search/?api=1&amp;query=Solstice%20Electronic%20Materials%20-%20Spokane%20Pasadena%2C%20CA%2C%20USA" TargetMode="External"/><Relationship Id="rId40" Type="http://schemas.openxmlformats.org/officeDocument/2006/relationships/hyperlink" Target="https://www.google.com/maps/place/?q=place_id:ChIJ99jhXa2pszURVhN82bFMSDI" TargetMode="External"/><Relationship Id="rId45" Type="http://schemas.openxmlformats.org/officeDocument/2006/relationships/hyperlink" Target="https://www.google.com/maps/place/?q=place_id:ChIJLdXaZtoNNTERiTzFefw_X7o" TargetMode="External"/><Relationship Id="rId53" Type="http://schemas.openxmlformats.org/officeDocument/2006/relationships/hyperlink" Target="https://www.google.com/maps/search/?api=1&amp;query=SUZHOU%20POSTEL%20CO.%2CLTD%204%20Li%20Da%20Lu%2C%20Wu%20Zhong%20Qu%2C%20Su%20Zhou%20Shi%2C%20Jiang%20Su%20Sheng%2C%20China%2C%20215121" TargetMode="External"/><Relationship Id="rId58" Type="http://schemas.openxmlformats.org/officeDocument/2006/relationships/hyperlink" Target="https://www.google.com/maps/place/?q=place_id:ChIJVVVVVV5GezUR15dJk1XRDQw" TargetMode="External"/><Relationship Id="rId5" Type="http://schemas.openxmlformats.org/officeDocument/2006/relationships/hyperlink" Target="https://www.google.com/maps/place/?q=place_id:ChIJq6qqqubMSjAR7P43RFFhmpU" TargetMode="External"/><Relationship Id="rId19" Type="http://schemas.openxmlformats.org/officeDocument/2006/relationships/hyperlink" Target="https://www.google.com/maps/place/?q=place_id:ChIJyUh-z12ZszURvqkpBlxLceE" TargetMode="External"/><Relationship Id="rId4" Type="http://schemas.openxmlformats.org/officeDocument/2006/relationships/hyperlink" Target="https://www.google.com/maps/place/?q=place_id:ChIJsTtJC6y4QIYRSI2XSZdeW3Q" TargetMode="External"/><Relationship Id="rId9" Type="http://schemas.openxmlformats.org/officeDocument/2006/relationships/hyperlink" Target="https://www.google.com/maps/search/?api=1&amp;query=CW%20QUERETARO%20MEXICO%20SA%20DE%20CV%20RHH5%2B52%2C%20El%20Puerto%2C%20Quer%C3%A9taro%2C%20Mexico%2C%2076215" TargetMode="External"/><Relationship Id="rId14" Type="http://schemas.openxmlformats.org/officeDocument/2006/relationships/hyperlink" Target="https://www.google.com/maps/place/?q=place_id:ChIJyZyNn1YPNTERIb6KZczsFVE" TargetMode="External"/><Relationship Id="rId22" Type="http://schemas.openxmlformats.org/officeDocument/2006/relationships/hyperlink" Target="https://www.google.com/maps/search/?api=1&amp;query=HANA%20TECH%20302-3%20Yangjae-dong%2C%20Seocho%20District%2C%20Seoul%2C%20South%20Korea" TargetMode="External"/><Relationship Id="rId27" Type="http://schemas.openxmlformats.org/officeDocument/2006/relationships/hyperlink" Target="https://www.google.com/maps/search/?api=1&amp;query=Honeywell%20Automation%20and%20Control%20Solution%28China%29%20Co.%2CLtd.%20Shanghai%2C%20China" TargetMode="External"/><Relationship Id="rId30" Type="http://schemas.openxmlformats.org/officeDocument/2006/relationships/hyperlink" Target="https://www.google.com/maps/search/?api=1&amp;query=%EC%A0%9C%EC%9D%BC%EC%8D%A8%EB%B3%B4%ED%85%8C%ED%81%AC%20255-1%20Dodang-dong%2C%20Bucheon%2C%20Gyeonggi-do%2C%20South%20Korea" TargetMode="External"/><Relationship Id="rId35" Type="http://schemas.openxmlformats.org/officeDocument/2006/relationships/hyperlink" Target="https://www.google.com/maps/place/?q=place_id:ChIJ83c4KwAXezURJ2oNR5ylGaY" TargetMode="External"/><Relationship Id="rId43" Type="http://schemas.openxmlformats.org/officeDocument/2006/relationships/hyperlink" Target="https://www.google.com/maps/search/?api=1&amp;query=SJI%20SAIGON%20XR4R%2BPHW%2C%20Tran%20Bien%2C%20Dong%20Nai%20City%2C%20Vietnam" TargetMode="External"/><Relationship Id="rId48" Type="http://schemas.openxmlformats.org/officeDocument/2006/relationships/hyperlink" Target="https://www.google.com/maps/search/?api=1&amp;query=%E5%A4%A9%E6%B0%B4%E5%8D%8E%E5%A4%A9%E7%A7%91%E6%8A%80%E8%82%A1%E4%BB%BD%E6%9C%89%E9%99%90%E5%85%AC%E5%8F%B8%20Qin%20Zhou%20Da%20Dao%2C%20Qin%20Zhou%20Qu%2C%20Tian%20Shui%20Shi%2C%20Gan%20Su%20Sheng%2C%20China" TargetMode="External"/><Relationship Id="rId56" Type="http://schemas.openxmlformats.org/officeDocument/2006/relationships/hyperlink" Target="https://www.google.com/maps/place/?q=place_id:ChIJyUh-z12ZszURvqkpBlxLceE" TargetMode="External"/><Relationship Id="rId8" Type="http://schemas.openxmlformats.org/officeDocument/2006/relationships/hyperlink" Target="https://www.google.com/maps/search/?api=1&amp;query=Solstice%20Electronic%20Materials%20-%20Spokane%20PO%20BOX%20100257%20PASADENA%20CA" TargetMode="External"/><Relationship Id="rId51" Type="http://schemas.openxmlformats.org/officeDocument/2006/relationships/hyperlink" Target="https://www.google.com/maps/search/?api=1&amp;query=Dinnoteck%20Co.%2CLtd.%209F" TargetMode="External"/><Relationship Id="rId3" Type="http://schemas.openxmlformats.org/officeDocument/2006/relationships/hyperlink" Target="https://www.google.com/maps/search/?api=1&amp;query=CINOS%28CX1%2CCX2%29%20%EC%A4%91%EA%B5%AD%20Shan%20Xi%20Sheng%2C%20Xi%20An%20Shi%2C%20Ba%20Qiao%20Qu%2C%20%E4%BA%9A%E6%B4%B2%E9%81%9393WF%2B8X9%20%E9%82%AE%E6%94%BF%E7%BC%96%E7%A0%81%3A%20710027" TargetMode="External"/><Relationship Id="rId12" Type="http://schemas.openxmlformats.org/officeDocument/2006/relationships/hyperlink" Target="https://www.google.com/maps/search/?api=1&amp;query=CINOS%28C2%29%20%EB%8C%80%ED%95%9C%EB%AF%BC%EA%B5%AD%20%EA%B2%BD%EA%B8%B0%EB%8F%84%20%ED%99%94%EC%84%B1%EC%8B%9C%20%ED%96%A5%EB%82%A8%EC%9D%8D%20%EA%B5%AC%EB%AC%B8%EC%B2%9C%EB%A6%AC%20930-17" TargetMode="External"/><Relationship Id="rId17" Type="http://schemas.openxmlformats.org/officeDocument/2006/relationships/hyperlink" Target="https://www.google.com/maps/search/?api=1&amp;query=SUZHOU%20POSTEL%20CO.%2CLTD%20%E5%B7%A5%E4%B8%9A%E5%9B%AD%E5%8C%BA%E5%88%A9%E8%BE%BE%E8%B7%AF4%E5%8F%B7%20%20%20%20%20%E6%B1%9F%E8%8B%8F%E7%9C%81%E8%8B%8F%E5%B7%9E%E5%B8%82" TargetMode="External"/><Relationship Id="rId25" Type="http://schemas.openxmlformats.org/officeDocument/2006/relationships/hyperlink" Target="https://www.google.com/maps/search/?api=1&amp;query=Samutsakorn%20%E0%B8%96%E0%B8%99%E0%B8%99%20%E0%B8%A8%E0%B8%A3%E0%B8%B5%E0%B8%AA%E0%B8%B8%E0%B8%A3%E0%B8%B4%E0%B8%89%E0%B8%B1%E0%B8%99%20Tambon%20Khok%20Kham%2C%20Amphoe%20Mueang%20Samut%20Sakhon%2C%20Chang%20Wat%20Samut%20Sakhon%2074000%2C%20Thailand" TargetMode="External"/><Relationship Id="rId33" Type="http://schemas.openxmlformats.org/officeDocument/2006/relationships/hyperlink" Target="https://www.google.com/maps/place/?q=place_id:ChIJTYNXlKUxSDQRQyp-LcKW_c0" TargetMode="External"/><Relationship Id="rId38" Type="http://schemas.openxmlformats.org/officeDocument/2006/relationships/hyperlink" Target="https://www.google.com/maps/search/?api=1&amp;query=CW%20QUERETARO%20MEXICO%20SA%20DE%20CV%20RHH5%2B52%20Quer%C3%A9taro%2C%20Mexico" TargetMode="External"/><Relationship Id="rId46" Type="http://schemas.openxmlformats.org/officeDocument/2006/relationships/hyperlink" Target="https://www.google.com/maps/search/?api=1&amp;query=AUO%20%28Xiamen%29%20Co.%2C%20Ltd.%20QJ5G%2BRG%20Shishi%2C%20Quanzhou%2C%20Fujian%2C%20China" TargetMode="External"/><Relationship Id="rId59" Type="http://schemas.openxmlformats.org/officeDocument/2006/relationships/hyperlink" Target="https://www.google.com/maps/search/?api=1&amp;query=SJI%20SAIGON%2035%2C%20%C4%90%C6%B0%E1%BB%9Dng%20%C4%90%E1%BB%93ng%20Kh%E1%BB%9Fi%2C%20th%C3%A0nh%20ph%E1%BB%91%20Bi%C3%AAn%20H%C3%B2a%2C%20%C4%90%E1%BB%93ng%20Nai%2C%20Vietnam" TargetMode="External"/><Relationship Id="rId20" Type="http://schemas.openxmlformats.org/officeDocument/2006/relationships/hyperlink" Target="https://www.google.com/maps/search/?api=1&amp;query=Dinnoteck%20Co.%2CLtd.%209F" TargetMode="External"/><Relationship Id="rId41" Type="http://schemas.openxmlformats.org/officeDocument/2006/relationships/hyperlink" Target="https://www.google.com/maps/search/?api=1&amp;query=CINOS%28C2%29%20930-17%20Gumuncheon-ri%2C%20Hyangnam-eup%2C%20Hwaseong-si%2C%20Gyeonggi-do%2C%20South%20Korea" TargetMode="External"/><Relationship Id="rId54" Type="http://schemas.openxmlformats.org/officeDocument/2006/relationships/hyperlink" Target="https://www.google.com/maps/place/?q=place_id:ChIJFWasIsgpZTURvxEVwC2zlWk" TargetMode="External"/><Relationship Id="rId1" Type="http://schemas.openxmlformats.org/officeDocument/2006/relationships/hyperlink" Target="https://www.google.com/maps/place/?q=place_id:ChIJmegxpsmdszURxrpKRCsOcA8" TargetMode="External"/><Relationship Id="rId6" Type="http://schemas.openxmlformats.org/officeDocument/2006/relationships/hyperlink" Target="https://www.google.com/maps/place/?q=place_id:ChIJ83c4KwAXezURJ2oNR5ylGaY" TargetMode="External"/><Relationship Id="rId15" Type="http://schemas.openxmlformats.org/officeDocument/2006/relationships/hyperlink" Target="https://www.google.com/maps/place/?q=place_id:ChIJLdXaZtoNNTERiTzFefw_X7o" TargetMode="External"/><Relationship Id="rId23" Type="http://schemas.openxmlformats.org/officeDocument/2006/relationships/hyperlink" Target="https://www.google.com/maps/place/?q=place_id:ChIJB3kfDDfGj4ARv8RvYZKoPVg" TargetMode="External"/><Relationship Id="rId28" Type="http://schemas.openxmlformats.org/officeDocument/2006/relationships/hyperlink" Target="https://www.google.com/maps/search/?api=1&amp;query=CINOS%28CX1%2CCX2%29%20China%2C%20Shan%20Xi%20Sheng%2C%20Xi%20An%20Shi%2C%20Ba%20Qiao%20Qu%2C%20%E4%BA%9A%E6%B4%B2%E9%81%9393WG%2BFFR%20%E9%82%AE%E6%94%BF%E7%BC%96%E7%A0%81%3A%20710027" TargetMode="External"/><Relationship Id="rId36" Type="http://schemas.openxmlformats.org/officeDocument/2006/relationships/hyperlink" Target="https://www.google.com/maps/search/?api=1&amp;query=CINOS%28C1%29%20299-2%20Gajae-ri%2C%20Paltan-myeon%2C%20Hwaseong-si%2C%20Gyeonggi-do%2C%20South%20Korea" TargetMode="External"/><Relationship Id="rId49" Type="http://schemas.openxmlformats.org/officeDocument/2006/relationships/hyperlink" Target="https://www.google.com/maps/search/?api=1&amp;query=%E8%8B%8F%E5%B7%9E%E6%96%B0%E7%89%B9%E5%BC%8F%E5%8D%8A%E5%AF%BC%E4%BD%93%E6%9C%89%E9%99%90%E5%85%AC%E5%8F%B8%20%E4%BA%AD%20%E9%95%87%2C%202%20Chun%20Hui%20Lu%2C%20Wu%20Zhong%20Qu%2C%20Su%20Zhou%20Shi%2C%20Jiang%20Su%20Sheng%2C%20China%2C%20215121" TargetMode="External"/><Relationship Id="rId57" Type="http://schemas.openxmlformats.org/officeDocument/2006/relationships/hyperlink" Target="https://www.google.com/maps/search/?api=1&amp;query=APO%28INDIUM%20CORPORATION%20OF%20AMERICA%29%20Singapore" TargetMode="External"/><Relationship Id="rId10" Type="http://schemas.openxmlformats.org/officeDocument/2006/relationships/hyperlink" Target="https://www.google.com/maps/place/?q=place_id:ChIJq6qqqubMSjAR7P43RFFhmpU" TargetMode="External"/><Relationship Id="rId31" Type="http://schemas.openxmlformats.org/officeDocument/2006/relationships/hyperlink" Target="https://www.google.com/maps/search/?api=1&amp;query=Entegris%20Malaysia%20Sdn%20Bhd%20CHV7%2B63%20Lunas%2C%20Kedah%2C%20Malaysia" TargetMode="External"/><Relationship Id="rId44" Type="http://schemas.openxmlformats.org/officeDocument/2006/relationships/hyperlink" Target="https://www.google.com/maps/place/?q=place_id:ChIJyZyNn1YPNTERIb6KZczsFVE" TargetMode="External"/><Relationship Id="rId52" Type="http://schemas.openxmlformats.org/officeDocument/2006/relationships/hyperlink" Target="https://www.google.com/maps/search/?api=1&amp;query=SHINHAN%20DIAMOND%28XI%27AN%29%20CO.%2CLTD.%204R26%2BH2%20Chang%27An%2C%20Xi%27An%2C%20Shaanxi%2C%20Chi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2C4B5-9A31-41BD-BC6D-DF1799A38771}">
  <dimension ref="A1:T25"/>
  <sheetViews>
    <sheetView showGridLines="0" zoomScale="85" zoomScaleNormal="85" workbookViewId="0">
      <selection activeCell="R1" sqref="R1"/>
    </sheetView>
  </sheetViews>
  <sheetFormatPr defaultRowHeight="16.5" outlineLevelCol="1" x14ac:dyDescent="0.3"/>
  <cols>
    <col min="1" max="1" width="19.625" style="1" customWidth="1"/>
    <col min="2" max="2" width="10.75" style="1" customWidth="1"/>
    <col min="3" max="3" width="10.625" style="1" customWidth="1"/>
    <col min="4" max="4" width="26.75" style="1" customWidth="1"/>
    <col min="5" max="5" width="18" style="1" customWidth="1"/>
    <col min="6" max="6" width="36" style="1" customWidth="1"/>
    <col min="7" max="7" width="10.875" style="1" customWidth="1"/>
    <col min="8" max="8" width="24" style="1" customWidth="1"/>
    <col min="9" max="9" width="27.125" style="1" customWidth="1"/>
    <col min="10" max="12" width="9" style="1" hidden="1" customWidth="1" outlineLevel="1"/>
    <col min="13" max="13" width="17.625" style="1" customWidth="1" collapsed="1"/>
    <col min="14" max="14" width="17.375" style="28" customWidth="1"/>
    <col min="15" max="15" width="0.875" style="1" hidden="1" customWidth="1"/>
    <col min="16" max="19" width="9" style="1"/>
    <col min="21" max="16384" width="9" style="1"/>
  </cols>
  <sheetData>
    <row r="1" spans="1:18" s="14" customFormat="1" ht="13.5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6</v>
      </c>
      <c r="F1" s="9" t="s">
        <v>7</v>
      </c>
      <c r="G1" s="10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10" t="s">
        <v>14</v>
      </c>
      <c r="N1" s="10" t="s">
        <v>375</v>
      </c>
      <c r="O1" s="9" t="s">
        <v>15</v>
      </c>
      <c r="P1" s="11" t="s">
        <v>333</v>
      </c>
      <c r="Q1" s="12" t="s">
        <v>376</v>
      </c>
      <c r="R1" s="13">
        <f>ROWS(G2:G25)</f>
        <v>24</v>
      </c>
    </row>
    <row r="2" spans="1:18" x14ac:dyDescent="0.3">
      <c r="A2" s="3" t="s">
        <v>377</v>
      </c>
      <c r="B2" s="3" t="s">
        <v>42</v>
      </c>
      <c r="C2" s="3" t="s">
        <v>43</v>
      </c>
      <c r="D2" s="3" t="s">
        <v>358</v>
      </c>
      <c r="E2" s="3" t="s">
        <v>46</v>
      </c>
      <c r="F2" s="3" t="s">
        <v>334</v>
      </c>
      <c r="G2" s="6" t="s">
        <v>23</v>
      </c>
      <c r="H2" s="3" t="s">
        <v>149</v>
      </c>
      <c r="I2" s="3" t="s">
        <v>371</v>
      </c>
      <c r="J2" s="3" t="s">
        <v>49</v>
      </c>
      <c r="K2" s="3" t="s">
        <v>50</v>
      </c>
      <c r="L2" s="3" t="s">
        <v>51</v>
      </c>
      <c r="M2" s="15" t="s">
        <v>378</v>
      </c>
      <c r="N2" s="16" t="s">
        <v>333</v>
      </c>
      <c r="O2" s="3" t="s">
        <v>335</v>
      </c>
      <c r="P2" s="2" t="s">
        <v>333</v>
      </c>
      <c r="Q2" s="17" t="s">
        <v>379</v>
      </c>
      <c r="R2" s="18">
        <f>COUNTIF(G2:G25, "검증 완료")</f>
        <v>11</v>
      </c>
    </row>
    <row r="3" spans="1:18" x14ac:dyDescent="0.3">
      <c r="A3" s="3" t="s">
        <v>380</v>
      </c>
      <c r="B3" s="3" t="s">
        <v>42</v>
      </c>
      <c r="C3" s="3" t="s">
        <v>92</v>
      </c>
      <c r="D3" s="3" t="s">
        <v>381</v>
      </c>
      <c r="E3" s="3" t="s">
        <v>96</v>
      </c>
      <c r="F3" s="3" t="s">
        <v>97</v>
      </c>
      <c r="G3" s="6" t="s">
        <v>35</v>
      </c>
      <c r="H3" s="3" t="s">
        <v>36</v>
      </c>
      <c r="I3" s="3" t="s">
        <v>283</v>
      </c>
      <c r="J3" s="3" t="s">
        <v>98</v>
      </c>
      <c r="K3" s="3" t="s">
        <v>99</v>
      </c>
      <c r="L3" s="3"/>
      <c r="M3" s="15" t="s">
        <v>382</v>
      </c>
      <c r="N3" s="16" t="s">
        <v>333</v>
      </c>
      <c r="O3" s="3" t="s">
        <v>100</v>
      </c>
      <c r="P3" s="2" t="s">
        <v>333</v>
      </c>
      <c r="Q3" s="19" t="s">
        <v>383</v>
      </c>
      <c r="R3" s="20">
        <f>COUNTIF(G2:G25, "확인 필요")</f>
        <v>12</v>
      </c>
    </row>
    <row r="4" spans="1:18" ht="17.25" thickBot="1" x14ac:dyDescent="0.35">
      <c r="A4" s="3" t="s">
        <v>101</v>
      </c>
      <c r="B4" s="3" t="s">
        <v>42</v>
      </c>
      <c r="C4" s="3" t="s">
        <v>82</v>
      </c>
      <c r="D4" s="3" t="s">
        <v>384</v>
      </c>
      <c r="E4" s="3" t="s">
        <v>101</v>
      </c>
      <c r="F4" s="3" t="s">
        <v>339</v>
      </c>
      <c r="G4" s="6" t="s">
        <v>35</v>
      </c>
      <c r="H4" s="3" t="s">
        <v>36</v>
      </c>
      <c r="I4" s="3" t="s">
        <v>283</v>
      </c>
      <c r="J4" s="3" t="s">
        <v>104</v>
      </c>
      <c r="K4" s="3" t="s">
        <v>105</v>
      </c>
      <c r="L4" s="3"/>
      <c r="M4" s="15" t="s">
        <v>385</v>
      </c>
      <c r="N4" s="16" t="s">
        <v>333</v>
      </c>
      <c r="O4" s="3" t="s">
        <v>340</v>
      </c>
      <c r="P4" s="2" t="s">
        <v>333</v>
      </c>
      <c r="Q4" s="21" t="s">
        <v>386</v>
      </c>
      <c r="R4" s="22">
        <f>COUNTIF(G2:G25, "실패")</f>
        <v>1</v>
      </c>
    </row>
    <row r="5" spans="1:18" x14ac:dyDescent="0.3">
      <c r="A5" s="3" t="s">
        <v>124</v>
      </c>
      <c r="B5" s="3" t="s">
        <v>125</v>
      </c>
      <c r="C5" s="3" t="s">
        <v>126</v>
      </c>
      <c r="D5" s="3" t="s">
        <v>387</v>
      </c>
      <c r="E5" s="3" t="s">
        <v>124</v>
      </c>
      <c r="F5" s="3" t="s">
        <v>359</v>
      </c>
      <c r="G5" s="6" t="s">
        <v>23</v>
      </c>
      <c r="H5" s="3" t="s">
        <v>149</v>
      </c>
      <c r="I5" s="3" t="s">
        <v>371</v>
      </c>
      <c r="J5" s="3" t="s">
        <v>388</v>
      </c>
      <c r="K5" s="3" t="s">
        <v>389</v>
      </c>
      <c r="L5" s="3" t="s">
        <v>390</v>
      </c>
      <c r="M5" s="15" t="s">
        <v>391</v>
      </c>
      <c r="N5" s="16" t="s">
        <v>333</v>
      </c>
      <c r="O5" s="3" t="s">
        <v>392</v>
      </c>
      <c r="P5" s="2" t="s">
        <v>333</v>
      </c>
    </row>
    <row r="6" spans="1:18" x14ac:dyDescent="0.3">
      <c r="A6" s="3" t="s">
        <v>167</v>
      </c>
      <c r="B6" s="3" t="s">
        <v>17</v>
      </c>
      <c r="C6" s="3" t="s">
        <v>18</v>
      </c>
      <c r="D6" s="3" t="s">
        <v>168</v>
      </c>
      <c r="E6" s="3" t="s">
        <v>167</v>
      </c>
      <c r="F6" s="3" t="s">
        <v>171</v>
      </c>
      <c r="G6" s="6" t="s">
        <v>23</v>
      </c>
      <c r="H6" s="3" t="s">
        <v>24</v>
      </c>
      <c r="I6" s="3" t="s">
        <v>322</v>
      </c>
      <c r="J6" s="3" t="s">
        <v>172</v>
      </c>
      <c r="K6" s="3" t="s">
        <v>173</v>
      </c>
      <c r="L6" s="3" t="s">
        <v>174</v>
      </c>
      <c r="M6" s="15" t="s">
        <v>393</v>
      </c>
      <c r="N6" s="16" t="s">
        <v>333</v>
      </c>
      <c r="O6" s="3" t="s">
        <v>175</v>
      </c>
      <c r="P6" s="2" t="s">
        <v>333</v>
      </c>
    </row>
    <row r="7" spans="1:18" x14ac:dyDescent="0.3">
      <c r="A7" s="3" t="s">
        <v>176</v>
      </c>
      <c r="B7" s="3" t="s">
        <v>17</v>
      </c>
      <c r="C7" s="3" t="s">
        <v>18</v>
      </c>
      <c r="D7" s="3" t="s">
        <v>177</v>
      </c>
      <c r="E7" s="3" t="s">
        <v>176</v>
      </c>
      <c r="F7" s="3" t="s">
        <v>180</v>
      </c>
      <c r="G7" s="6" t="s">
        <v>35</v>
      </c>
      <c r="H7" s="3" t="s">
        <v>36</v>
      </c>
      <c r="I7" s="3" t="s">
        <v>283</v>
      </c>
      <c r="J7" s="3" t="s">
        <v>181</v>
      </c>
      <c r="K7" s="3" t="s">
        <v>182</v>
      </c>
      <c r="L7" s="3"/>
      <c r="M7" s="15" t="s">
        <v>394</v>
      </c>
      <c r="N7" s="16" t="s">
        <v>333</v>
      </c>
      <c r="O7" s="3" t="s">
        <v>183</v>
      </c>
      <c r="P7" s="2" t="s">
        <v>333</v>
      </c>
    </row>
    <row r="8" spans="1:18" x14ac:dyDescent="0.3">
      <c r="A8" s="3" t="s">
        <v>395</v>
      </c>
      <c r="B8" s="3" t="s">
        <v>125</v>
      </c>
      <c r="C8" s="3" t="s">
        <v>185</v>
      </c>
      <c r="D8" s="3" t="s">
        <v>396</v>
      </c>
      <c r="E8" s="3" t="s">
        <v>184</v>
      </c>
      <c r="F8" s="3" t="s">
        <v>361</v>
      </c>
      <c r="G8" s="6" t="s">
        <v>35</v>
      </c>
      <c r="H8" s="3" t="s">
        <v>36</v>
      </c>
      <c r="I8" s="3" t="s">
        <v>283</v>
      </c>
      <c r="J8" s="3" t="s">
        <v>189</v>
      </c>
      <c r="K8" s="3" t="s">
        <v>190</v>
      </c>
      <c r="L8" s="3"/>
      <c r="M8" s="15" t="s">
        <v>397</v>
      </c>
      <c r="N8" s="16" t="s">
        <v>333</v>
      </c>
      <c r="O8" s="3" t="s">
        <v>191</v>
      </c>
      <c r="P8" s="2" t="s">
        <v>333</v>
      </c>
    </row>
    <row r="9" spans="1:18" x14ac:dyDescent="0.3">
      <c r="A9" s="3" t="s">
        <v>192</v>
      </c>
      <c r="B9" s="3" t="s">
        <v>193</v>
      </c>
      <c r="C9" s="3" t="s">
        <v>194</v>
      </c>
      <c r="D9" s="3" t="s">
        <v>195</v>
      </c>
      <c r="E9" s="3" t="s">
        <v>192</v>
      </c>
      <c r="F9" s="3" t="s">
        <v>198</v>
      </c>
      <c r="G9" s="6" t="s">
        <v>35</v>
      </c>
      <c r="H9" s="3" t="s">
        <v>36</v>
      </c>
      <c r="I9" s="3" t="s">
        <v>283</v>
      </c>
      <c r="J9" s="3" t="s">
        <v>199</v>
      </c>
      <c r="K9" s="3" t="s">
        <v>200</v>
      </c>
      <c r="L9" s="3"/>
      <c r="M9" s="15" t="s">
        <v>398</v>
      </c>
      <c r="N9" s="16" t="s">
        <v>333</v>
      </c>
      <c r="O9" s="3" t="s">
        <v>201</v>
      </c>
      <c r="P9" s="2" t="s">
        <v>333</v>
      </c>
    </row>
    <row r="10" spans="1:18" x14ac:dyDescent="0.3">
      <c r="A10" s="3" t="s">
        <v>135</v>
      </c>
      <c r="B10" s="3" t="s">
        <v>136</v>
      </c>
      <c r="C10" s="3" t="s">
        <v>137</v>
      </c>
      <c r="D10" s="3" t="s">
        <v>202</v>
      </c>
      <c r="E10" s="3" t="s">
        <v>135</v>
      </c>
      <c r="F10" s="3" t="s">
        <v>360</v>
      </c>
      <c r="G10" s="6" t="s">
        <v>23</v>
      </c>
      <c r="H10" s="3" t="s">
        <v>369</v>
      </c>
      <c r="I10" s="3" t="s">
        <v>372</v>
      </c>
      <c r="J10" s="3"/>
      <c r="K10" s="3"/>
      <c r="L10" s="3" t="s">
        <v>399</v>
      </c>
      <c r="M10" s="15" t="s">
        <v>400</v>
      </c>
      <c r="N10" s="16" t="s">
        <v>333</v>
      </c>
      <c r="O10" s="3" t="s">
        <v>401</v>
      </c>
      <c r="P10" s="2" t="s">
        <v>333</v>
      </c>
    </row>
    <row r="11" spans="1:18" x14ac:dyDescent="0.3">
      <c r="A11" s="3" t="s">
        <v>209</v>
      </c>
      <c r="B11" s="3" t="s">
        <v>42</v>
      </c>
      <c r="C11" s="3" t="s">
        <v>159</v>
      </c>
      <c r="D11" s="3" t="s">
        <v>402</v>
      </c>
      <c r="E11" s="3" t="s">
        <v>209</v>
      </c>
      <c r="F11" s="3" t="s">
        <v>362</v>
      </c>
      <c r="G11" s="6" t="s">
        <v>23</v>
      </c>
      <c r="H11" s="3" t="s">
        <v>369</v>
      </c>
      <c r="I11" s="3" t="s">
        <v>373</v>
      </c>
      <c r="J11" s="3"/>
      <c r="K11" s="3"/>
      <c r="L11" s="3" t="s">
        <v>403</v>
      </c>
      <c r="M11" s="15" t="s">
        <v>404</v>
      </c>
      <c r="N11" s="16" t="s">
        <v>333</v>
      </c>
      <c r="O11" s="3" t="s">
        <v>405</v>
      </c>
      <c r="P11" s="2" t="s">
        <v>333</v>
      </c>
    </row>
    <row r="12" spans="1:18" x14ac:dyDescent="0.3">
      <c r="A12" s="3" t="s">
        <v>217</v>
      </c>
      <c r="B12" s="3" t="s">
        <v>17</v>
      </c>
      <c r="C12" s="3" t="s">
        <v>18</v>
      </c>
      <c r="D12" s="3" t="s">
        <v>218</v>
      </c>
      <c r="E12" s="3" t="s">
        <v>217</v>
      </c>
      <c r="F12" s="3" t="s">
        <v>221</v>
      </c>
      <c r="G12" s="6" t="s">
        <v>35</v>
      </c>
      <c r="H12" s="3" t="s">
        <v>36</v>
      </c>
      <c r="I12" s="3" t="s">
        <v>283</v>
      </c>
      <c r="J12" s="3" t="s">
        <v>222</v>
      </c>
      <c r="K12" s="3" t="s">
        <v>223</v>
      </c>
      <c r="L12" s="3"/>
      <c r="M12" s="15" t="s">
        <v>406</v>
      </c>
      <c r="N12" s="23" t="s">
        <v>333</v>
      </c>
      <c r="O12" s="3" t="s">
        <v>224</v>
      </c>
      <c r="P12" s="2" t="s">
        <v>333</v>
      </c>
    </row>
    <row r="13" spans="1:18" x14ac:dyDescent="0.3">
      <c r="A13" s="5" t="s">
        <v>225</v>
      </c>
      <c r="B13" s="5" t="s">
        <v>226</v>
      </c>
      <c r="C13" s="5" t="s">
        <v>227</v>
      </c>
      <c r="D13" s="5" t="s">
        <v>342</v>
      </c>
      <c r="E13" s="5" t="s">
        <v>225</v>
      </c>
      <c r="F13" s="5" t="s">
        <v>230</v>
      </c>
      <c r="G13" s="7" t="s">
        <v>35</v>
      </c>
      <c r="H13" s="5" t="s">
        <v>36</v>
      </c>
      <c r="I13" s="5" t="s">
        <v>283</v>
      </c>
      <c r="J13" s="5" t="s">
        <v>231</v>
      </c>
      <c r="K13" s="5" t="s">
        <v>232</v>
      </c>
      <c r="L13" s="5"/>
      <c r="M13" s="24" t="s">
        <v>407</v>
      </c>
      <c r="N13" s="25" t="s">
        <v>453</v>
      </c>
      <c r="O13" s="5" t="s">
        <v>343</v>
      </c>
      <c r="P13" s="2" t="s">
        <v>409</v>
      </c>
    </row>
    <row r="14" spans="1:18" x14ac:dyDescent="0.3">
      <c r="A14" s="4" t="s">
        <v>225</v>
      </c>
      <c r="B14" s="4" t="s">
        <v>226</v>
      </c>
      <c r="C14" s="4" t="s">
        <v>227</v>
      </c>
      <c r="D14" s="4" t="s">
        <v>410</v>
      </c>
      <c r="E14" s="4" t="s">
        <v>225</v>
      </c>
      <c r="F14" s="4" t="s">
        <v>363</v>
      </c>
      <c r="G14" s="8" t="s">
        <v>35</v>
      </c>
      <c r="H14" s="4" t="s">
        <v>36</v>
      </c>
      <c r="I14" s="4" t="s">
        <v>283</v>
      </c>
      <c r="J14" s="4" t="s">
        <v>237</v>
      </c>
      <c r="K14" s="4" t="s">
        <v>238</v>
      </c>
      <c r="L14" s="4"/>
      <c r="M14" s="26" t="s">
        <v>411</v>
      </c>
      <c r="N14" s="27" t="s">
        <v>408</v>
      </c>
      <c r="O14" s="4" t="s">
        <v>239</v>
      </c>
      <c r="P14" s="2" t="s">
        <v>412</v>
      </c>
    </row>
    <row r="15" spans="1:18" x14ac:dyDescent="0.3">
      <c r="A15" s="3" t="s">
        <v>240</v>
      </c>
      <c r="B15" s="3" t="s">
        <v>226</v>
      </c>
      <c r="C15" s="3" t="s">
        <v>241</v>
      </c>
      <c r="D15" s="3" t="s">
        <v>242</v>
      </c>
      <c r="E15" s="3" t="s">
        <v>245</v>
      </c>
      <c r="F15" s="3" t="s">
        <v>246</v>
      </c>
      <c r="G15" s="6" t="s">
        <v>23</v>
      </c>
      <c r="H15" s="3" t="s">
        <v>149</v>
      </c>
      <c r="I15" s="3" t="s">
        <v>371</v>
      </c>
      <c r="J15" s="3" t="s">
        <v>247</v>
      </c>
      <c r="K15" s="3" t="s">
        <v>248</v>
      </c>
      <c r="L15" s="3" t="s">
        <v>249</v>
      </c>
      <c r="M15" s="15" t="s">
        <v>413</v>
      </c>
      <c r="N15" s="16" t="s">
        <v>333</v>
      </c>
      <c r="O15" s="3" t="s">
        <v>250</v>
      </c>
      <c r="P15" s="2" t="s">
        <v>333</v>
      </c>
    </row>
    <row r="16" spans="1:18" x14ac:dyDescent="0.3">
      <c r="A16" s="3" t="s">
        <v>251</v>
      </c>
      <c r="B16" s="3" t="s">
        <v>226</v>
      </c>
      <c r="C16" s="3" t="s">
        <v>252</v>
      </c>
      <c r="D16" s="3" t="s">
        <v>344</v>
      </c>
      <c r="E16" s="3" t="s">
        <v>255</v>
      </c>
      <c r="F16" s="3" t="s">
        <v>364</v>
      </c>
      <c r="G16" s="6" t="s">
        <v>23</v>
      </c>
      <c r="H16" s="3" t="s">
        <v>369</v>
      </c>
      <c r="I16" s="3" t="s">
        <v>372</v>
      </c>
      <c r="J16" s="3"/>
      <c r="K16" s="3"/>
      <c r="L16" s="3" t="s">
        <v>414</v>
      </c>
      <c r="M16" s="15" t="s">
        <v>415</v>
      </c>
      <c r="N16" s="16" t="s">
        <v>333</v>
      </c>
      <c r="O16" s="3" t="s">
        <v>416</v>
      </c>
      <c r="P16" s="2" t="s">
        <v>333</v>
      </c>
    </row>
    <row r="17" spans="1:16" x14ac:dyDescent="0.3">
      <c r="A17" s="3" t="s">
        <v>346</v>
      </c>
      <c r="B17" s="3" t="s">
        <v>42</v>
      </c>
      <c r="C17" s="3" t="s">
        <v>276</v>
      </c>
      <c r="D17" s="3" t="s">
        <v>347</v>
      </c>
      <c r="E17" s="3" t="s">
        <v>348</v>
      </c>
      <c r="F17" s="3" t="s">
        <v>279</v>
      </c>
      <c r="G17" s="6" t="s">
        <v>35</v>
      </c>
      <c r="H17" s="3" t="s">
        <v>36</v>
      </c>
      <c r="I17" s="3" t="s">
        <v>283</v>
      </c>
      <c r="J17" s="3" t="s">
        <v>280</v>
      </c>
      <c r="K17" s="3" t="s">
        <v>281</v>
      </c>
      <c r="L17" s="3"/>
      <c r="M17" s="3" t="s">
        <v>417</v>
      </c>
      <c r="N17" s="16" t="s">
        <v>333</v>
      </c>
      <c r="O17" s="3" t="s">
        <v>282</v>
      </c>
      <c r="P17" s="2" t="s">
        <v>333</v>
      </c>
    </row>
    <row r="18" spans="1:16" ht="17.25" x14ac:dyDescent="0.35">
      <c r="A18" s="5" t="s">
        <v>349</v>
      </c>
      <c r="B18" s="5" t="s">
        <v>42</v>
      </c>
      <c r="C18" s="5" t="s">
        <v>43</v>
      </c>
      <c r="D18" s="5" t="s">
        <v>418</v>
      </c>
      <c r="E18" s="5" t="s">
        <v>350</v>
      </c>
      <c r="F18" s="5" t="s">
        <v>351</v>
      </c>
      <c r="G18" s="7" t="s">
        <v>35</v>
      </c>
      <c r="H18" s="5" t="s">
        <v>36</v>
      </c>
      <c r="I18" s="5" t="s">
        <v>283</v>
      </c>
      <c r="J18" s="5" t="s">
        <v>284</v>
      </c>
      <c r="K18" s="5" t="s">
        <v>285</v>
      </c>
      <c r="L18" s="5"/>
      <c r="M18" s="5" t="s">
        <v>419</v>
      </c>
      <c r="N18" s="25" t="s">
        <v>453</v>
      </c>
      <c r="O18" s="5" t="s">
        <v>352</v>
      </c>
      <c r="P18" s="2" t="s">
        <v>409</v>
      </c>
    </row>
    <row r="19" spans="1:16" x14ac:dyDescent="0.3">
      <c r="A19" s="3" t="s">
        <v>286</v>
      </c>
      <c r="B19" s="3" t="s">
        <v>17</v>
      </c>
      <c r="C19" s="3" t="s">
        <v>287</v>
      </c>
      <c r="D19" s="3" t="s">
        <v>288</v>
      </c>
      <c r="E19" s="3" t="s">
        <v>289</v>
      </c>
      <c r="F19" s="3" t="s">
        <v>290</v>
      </c>
      <c r="G19" s="6" t="s">
        <v>23</v>
      </c>
      <c r="H19" s="3" t="s">
        <v>149</v>
      </c>
      <c r="I19" s="3" t="s">
        <v>291</v>
      </c>
      <c r="J19" s="3" t="s">
        <v>292</v>
      </c>
      <c r="K19" s="3" t="s">
        <v>293</v>
      </c>
      <c r="L19" s="3" t="s">
        <v>294</v>
      </c>
      <c r="M19" s="3" t="s">
        <v>295</v>
      </c>
      <c r="N19" s="23" t="s">
        <v>333</v>
      </c>
      <c r="O19" s="3" t="s">
        <v>296</v>
      </c>
      <c r="P19" s="2" t="s">
        <v>333</v>
      </c>
    </row>
    <row r="20" spans="1:16" x14ac:dyDescent="0.3">
      <c r="A20" s="3" t="s">
        <v>297</v>
      </c>
      <c r="B20" s="3" t="s">
        <v>17</v>
      </c>
      <c r="C20" s="3" t="s">
        <v>298</v>
      </c>
      <c r="D20" s="3" t="s">
        <v>299</v>
      </c>
      <c r="E20" s="3" t="s">
        <v>300</v>
      </c>
      <c r="F20" s="3"/>
      <c r="G20" s="6" t="s">
        <v>301</v>
      </c>
      <c r="H20" s="3" t="s">
        <v>302</v>
      </c>
      <c r="I20" s="3" t="s">
        <v>303</v>
      </c>
      <c r="J20" s="3"/>
      <c r="K20" s="3"/>
      <c r="L20" s="3"/>
      <c r="M20" s="15" t="s">
        <v>420</v>
      </c>
      <c r="N20" s="16" t="s">
        <v>333</v>
      </c>
      <c r="O20" s="3"/>
      <c r="P20" s="2" t="s">
        <v>333</v>
      </c>
    </row>
    <row r="21" spans="1:16" x14ac:dyDescent="0.3">
      <c r="A21" s="3" t="s">
        <v>421</v>
      </c>
      <c r="B21" s="3" t="s">
        <v>42</v>
      </c>
      <c r="C21" s="3" t="s">
        <v>82</v>
      </c>
      <c r="D21" s="3" t="s">
        <v>422</v>
      </c>
      <c r="E21" s="3" t="s">
        <v>306</v>
      </c>
      <c r="F21" s="3" t="s">
        <v>307</v>
      </c>
      <c r="G21" s="6" t="s">
        <v>35</v>
      </c>
      <c r="H21" s="3" t="s">
        <v>36</v>
      </c>
      <c r="I21" s="3" t="s">
        <v>283</v>
      </c>
      <c r="J21" s="3" t="s">
        <v>308</v>
      </c>
      <c r="K21" s="3" t="s">
        <v>309</v>
      </c>
      <c r="L21" s="3"/>
      <c r="M21" s="15" t="s">
        <v>423</v>
      </c>
      <c r="N21" s="16" t="s">
        <v>333</v>
      </c>
      <c r="O21" s="3" t="s">
        <v>310</v>
      </c>
      <c r="P21" s="2" t="s">
        <v>333</v>
      </c>
    </row>
    <row r="22" spans="1:16" ht="17.25" x14ac:dyDescent="0.35">
      <c r="A22" s="3" t="s">
        <v>311</v>
      </c>
      <c r="B22" s="3" t="s">
        <v>42</v>
      </c>
      <c r="C22" s="3" t="s">
        <v>43</v>
      </c>
      <c r="D22" s="3" t="s">
        <v>424</v>
      </c>
      <c r="E22" s="3" t="s">
        <v>312</v>
      </c>
      <c r="F22" s="3" t="s">
        <v>313</v>
      </c>
      <c r="G22" s="6" t="s">
        <v>35</v>
      </c>
      <c r="H22" s="3" t="s">
        <v>36</v>
      </c>
      <c r="I22" s="3" t="s">
        <v>283</v>
      </c>
      <c r="J22" s="3" t="s">
        <v>314</v>
      </c>
      <c r="K22" s="3" t="s">
        <v>315</v>
      </c>
      <c r="L22" s="3"/>
      <c r="M22" s="15" t="s">
        <v>425</v>
      </c>
      <c r="N22" s="23" t="s">
        <v>333</v>
      </c>
      <c r="O22" s="3" t="s">
        <v>316</v>
      </c>
      <c r="P22" s="2" t="s">
        <v>333</v>
      </c>
    </row>
    <row r="23" spans="1:16" x14ac:dyDescent="0.3">
      <c r="A23" s="3" t="s">
        <v>286</v>
      </c>
      <c r="B23" s="3" t="s">
        <v>17</v>
      </c>
      <c r="C23" s="3" t="s">
        <v>287</v>
      </c>
      <c r="D23" s="3" t="s">
        <v>288</v>
      </c>
      <c r="E23" s="3" t="s">
        <v>289</v>
      </c>
      <c r="F23" s="3" t="s">
        <v>290</v>
      </c>
      <c r="G23" s="6" t="s">
        <v>23</v>
      </c>
      <c r="H23" s="3" t="s">
        <v>149</v>
      </c>
      <c r="I23" s="3" t="s">
        <v>291</v>
      </c>
      <c r="J23" s="3" t="s">
        <v>292</v>
      </c>
      <c r="K23" s="3" t="s">
        <v>293</v>
      </c>
      <c r="L23" s="3" t="s">
        <v>294</v>
      </c>
      <c r="M23" s="3" t="s">
        <v>295</v>
      </c>
      <c r="N23" s="23" t="s">
        <v>333</v>
      </c>
      <c r="O23" s="3" t="s">
        <v>296</v>
      </c>
      <c r="P23" s="2" t="s">
        <v>333</v>
      </c>
    </row>
    <row r="24" spans="1:16" x14ac:dyDescent="0.3">
      <c r="A24" s="3" t="s">
        <v>317</v>
      </c>
      <c r="B24" s="3" t="s">
        <v>17</v>
      </c>
      <c r="C24" s="3" t="s">
        <v>318</v>
      </c>
      <c r="D24" s="3" t="s">
        <v>319</v>
      </c>
      <c r="E24" s="3" t="s">
        <v>320</v>
      </c>
      <c r="F24" s="3" t="s">
        <v>321</v>
      </c>
      <c r="G24" s="6" t="s">
        <v>23</v>
      </c>
      <c r="H24" s="3" t="s">
        <v>24</v>
      </c>
      <c r="I24" s="3" t="s">
        <v>322</v>
      </c>
      <c r="J24" s="3" t="s">
        <v>323</v>
      </c>
      <c r="K24" s="3" t="s">
        <v>324</v>
      </c>
      <c r="L24" s="3" t="s">
        <v>325</v>
      </c>
      <c r="M24" s="15" t="s">
        <v>426</v>
      </c>
      <c r="N24" s="23" t="s">
        <v>333</v>
      </c>
      <c r="O24" s="3" t="s">
        <v>326</v>
      </c>
      <c r="P24" s="2" t="s">
        <v>333</v>
      </c>
    </row>
    <row r="25" spans="1:16" ht="17.25" x14ac:dyDescent="0.35">
      <c r="A25" s="3" t="s">
        <v>354</v>
      </c>
      <c r="B25" s="3" t="s">
        <v>42</v>
      </c>
      <c r="C25" s="3" t="s">
        <v>43</v>
      </c>
      <c r="D25" s="3" t="s">
        <v>427</v>
      </c>
      <c r="E25" s="3" t="s">
        <v>356</v>
      </c>
      <c r="F25" s="3" t="s">
        <v>327</v>
      </c>
      <c r="G25" s="6" t="s">
        <v>23</v>
      </c>
      <c r="H25" s="3" t="s">
        <v>24</v>
      </c>
      <c r="I25" s="3" t="s">
        <v>322</v>
      </c>
      <c r="J25" s="3" t="s">
        <v>328</v>
      </c>
      <c r="K25" s="3" t="s">
        <v>329</v>
      </c>
      <c r="L25" s="3" t="s">
        <v>330</v>
      </c>
      <c r="M25" s="15" t="s">
        <v>428</v>
      </c>
      <c r="N25" s="16" t="s">
        <v>333</v>
      </c>
      <c r="O25" s="3" t="s">
        <v>331</v>
      </c>
      <c r="P25" s="2" t="s">
        <v>333</v>
      </c>
    </row>
  </sheetData>
  <phoneticPr fontId="1" type="noConversion"/>
  <hyperlinks>
    <hyperlink ref="M2" r:id="rId1" xr:uid="{E06C3CB1-293D-413B-B305-3673125BCD68}"/>
    <hyperlink ref="M3" r:id="rId2" xr:uid="{9F7D8664-7E51-491A-B8D3-C800E2B66F8B}"/>
    <hyperlink ref="M4" r:id="rId3" xr:uid="{851CEBD7-CBBB-49C9-B002-7C6997CEE572}"/>
    <hyperlink ref="M5" r:id="rId4" xr:uid="{77D44DC2-2A2E-425E-AFE3-294513797E84}"/>
    <hyperlink ref="M6" r:id="rId5" xr:uid="{1E7735EE-4037-4947-B018-2080EB67D035}"/>
    <hyperlink ref="M7" r:id="rId6" xr:uid="{7579E261-19EC-4194-8B9F-CC33A1030AD1}"/>
    <hyperlink ref="M8" r:id="rId7" xr:uid="{FDE2A491-16F4-45EA-A1BE-1FD6C3F16D42}"/>
    <hyperlink ref="M9" r:id="rId8" xr:uid="{A57E27CE-C60A-4CEC-BE2D-B4000A6363AB}"/>
    <hyperlink ref="M10" r:id="rId9" xr:uid="{542F211E-5108-4D1A-86C6-3CC849099DEA}"/>
    <hyperlink ref="M11" r:id="rId10" xr:uid="{22DACF38-BFA7-45D1-B848-15F17DB02A20}"/>
    <hyperlink ref="M12" r:id="rId11" xr:uid="{EABA7430-657D-4460-9C1A-F783D8BDCCA9}"/>
    <hyperlink ref="M13" r:id="rId12" xr:uid="{1551B3E8-6D3D-4766-A352-74C6ECF66D1F}"/>
    <hyperlink ref="M14" r:id="rId13" xr:uid="{34E87842-77EA-4E49-985C-31C87BDC847D}"/>
    <hyperlink ref="M15" r:id="rId14" xr:uid="{3098B695-6AED-4A11-A0CC-9A415C74A555}"/>
    <hyperlink ref="M16" r:id="rId15" xr:uid="{E1A58AC4-F86C-4CC3-B995-E9997102AAE3}"/>
    <hyperlink ref="M21" r:id="rId16" xr:uid="{1DE5383D-6814-41B5-A457-C8EDA8247B40}"/>
    <hyperlink ref="M22" r:id="rId17" xr:uid="{78700C87-F2AE-48E6-AD26-8407290ECC72}"/>
    <hyperlink ref="M24" r:id="rId18" xr:uid="{BDF2D1AF-400C-4DDC-A6C6-71E99C225BC5}"/>
    <hyperlink ref="M25" r:id="rId19" xr:uid="{DAE45042-3634-44A0-BB83-71E5D5A2D6BE}"/>
    <hyperlink ref="N13" r:id="rId20" display="표준 주소 기반 URL" xr:uid="{6EF45B59-FA2E-46AC-AAF2-46FD830FE6C3}"/>
    <hyperlink ref="N14" r:id="rId21" xr:uid="{F5332E25-0188-45D1-AFF7-C9FD7674D252}"/>
    <hyperlink ref="N18" r:id="rId22" display="표준 주소 기반 URL" xr:uid="{D0B5B57D-D942-43F4-9BAC-45B188B17B5A}"/>
    <hyperlink ref="M20" r:id="rId23" xr:uid="{85978BED-E1AB-41E9-B911-860876BF45E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9"/>
  <sheetViews>
    <sheetView showGridLines="0" tabSelected="1" zoomScale="70" zoomScaleNormal="70" workbookViewId="0">
      <pane xSplit="7" ySplit="1" topLeftCell="N2" activePane="bottomRight" state="frozen"/>
      <selection pane="topRight" activeCell="G1" sqref="G1"/>
      <selection pane="bottomLeft" activeCell="A2" sqref="A2"/>
      <selection pane="bottomRight" activeCell="B1" sqref="B1"/>
    </sheetView>
  </sheetViews>
  <sheetFormatPr defaultRowHeight="13.5" outlineLevelCol="1" x14ac:dyDescent="0.3"/>
  <cols>
    <col min="1" max="1" width="0" style="14" hidden="1" customWidth="1"/>
    <col min="2" max="2" width="24.25" style="14" customWidth="1"/>
    <col min="3" max="4" width="9" style="41"/>
    <col min="5" max="5" width="22.25" style="14" customWidth="1"/>
    <col min="6" max="7" width="9" style="41"/>
    <col min="8" max="8" width="11.75" style="14" hidden="1" customWidth="1"/>
    <col min="9" max="9" width="25.75" style="14" hidden="1" customWidth="1" outlineLevel="1"/>
    <col min="10" max="10" width="11" style="41" hidden="1" customWidth="1" outlineLevel="1"/>
    <col min="11" max="11" width="13.75" style="14" hidden="1" customWidth="1" outlineLevel="1"/>
    <col min="12" max="13" width="29.5" style="14" hidden="1" customWidth="1" outlineLevel="1"/>
    <col min="14" max="14" width="12.875" style="14" customWidth="1" collapsed="1"/>
    <col min="15" max="15" width="34.625" style="14" customWidth="1"/>
    <col min="16" max="16" width="9" style="41"/>
    <col min="17" max="17" width="29.5" style="14" customWidth="1"/>
    <col min="18" max="18" width="49.875" style="14" customWidth="1"/>
    <col min="19" max="20" width="9" style="41"/>
    <col min="21" max="21" width="0" style="14" hidden="1" customWidth="1"/>
    <col min="22" max="22" width="13.375" style="14" customWidth="1"/>
    <col min="23" max="23" width="9" style="14" hidden="1" customWidth="1"/>
    <col min="24" max="24" width="45.375" style="14" customWidth="1"/>
    <col min="25" max="25" width="9" style="14"/>
    <col min="26" max="26" width="10.375" style="14" customWidth="1"/>
    <col min="27" max="27" width="19.625" style="14" customWidth="1"/>
    <col min="28" max="16384" width="9" style="14"/>
  </cols>
  <sheetData>
    <row r="1" spans="1:28" ht="20.100000000000001" customHeight="1" x14ac:dyDescent="0.3">
      <c r="A1" s="29" t="s">
        <v>479</v>
      </c>
      <c r="B1" s="30" t="s">
        <v>0</v>
      </c>
      <c r="C1" s="29" t="s">
        <v>1</v>
      </c>
      <c r="D1" s="29" t="s">
        <v>2</v>
      </c>
      <c r="E1" s="30" t="s">
        <v>3</v>
      </c>
      <c r="F1" s="29" t="s">
        <v>4</v>
      </c>
      <c r="G1" s="29" t="s">
        <v>5</v>
      </c>
      <c r="H1" s="32" t="s">
        <v>365</v>
      </c>
      <c r="I1" s="32" t="s">
        <v>366</v>
      </c>
      <c r="J1" s="33" t="s">
        <v>367</v>
      </c>
      <c r="K1" s="32" t="s">
        <v>368</v>
      </c>
      <c r="L1" s="32" t="s">
        <v>370</v>
      </c>
      <c r="M1" s="32" t="s">
        <v>429</v>
      </c>
      <c r="N1" s="31" t="s">
        <v>6</v>
      </c>
      <c r="O1" s="31" t="s">
        <v>7</v>
      </c>
      <c r="P1" s="34" t="s">
        <v>8</v>
      </c>
      <c r="Q1" s="31" t="s">
        <v>9</v>
      </c>
      <c r="R1" s="31" t="s">
        <v>10</v>
      </c>
      <c r="S1" s="34" t="s">
        <v>11</v>
      </c>
      <c r="T1" s="34" t="s">
        <v>12</v>
      </c>
      <c r="U1" s="31" t="s">
        <v>13</v>
      </c>
      <c r="V1" s="31" t="s">
        <v>14</v>
      </c>
      <c r="W1" s="31" t="s">
        <v>15</v>
      </c>
      <c r="X1" s="31" t="s">
        <v>374</v>
      </c>
    </row>
    <row r="2" spans="1:28" s="40" customFormat="1" ht="20.100000000000001" customHeight="1" x14ac:dyDescent="0.3">
      <c r="A2" s="35" t="b">
        <f>COUNTIF(TF_std!$A$2:$A$25, B2)&gt;0</f>
        <v>0</v>
      </c>
      <c r="B2" s="36" t="s">
        <v>16</v>
      </c>
      <c r="C2" s="37" t="s">
        <v>17</v>
      </c>
      <c r="D2" s="37" t="s">
        <v>18</v>
      </c>
      <c r="E2" s="36" t="s">
        <v>19</v>
      </c>
      <c r="F2" s="37" t="s">
        <v>20</v>
      </c>
      <c r="G2" s="37" t="s">
        <v>21</v>
      </c>
      <c r="H2" s="35"/>
      <c r="I2" s="35"/>
      <c r="J2" s="35"/>
      <c r="K2" s="35"/>
      <c r="L2" s="35"/>
      <c r="M2" s="35"/>
      <c r="N2" s="35" t="s">
        <v>16</v>
      </c>
      <c r="O2" s="35" t="s">
        <v>22</v>
      </c>
      <c r="P2" s="38" t="s">
        <v>23</v>
      </c>
      <c r="Q2" s="35" t="s">
        <v>24</v>
      </c>
      <c r="R2" s="35" t="s">
        <v>25</v>
      </c>
      <c r="S2" s="38" t="s">
        <v>26</v>
      </c>
      <c r="T2" s="38" t="s">
        <v>27</v>
      </c>
      <c r="U2" s="35" t="s">
        <v>28</v>
      </c>
      <c r="V2" s="42" t="s">
        <v>430</v>
      </c>
      <c r="W2" s="35" t="s">
        <v>29</v>
      </c>
      <c r="X2" s="39" t="s">
        <v>333</v>
      </c>
      <c r="Z2" s="70" t="s">
        <v>498</v>
      </c>
      <c r="AA2" s="63"/>
      <c r="AB2" s="64"/>
    </row>
    <row r="3" spans="1:28" s="40" customFormat="1" ht="20.100000000000001" customHeight="1" x14ac:dyDescent="0.3">
      <c r="A3" s="35" t="b">
        <f>COUNTIF(TF_std!$A$2:$A$25, B3)&gt;0</f>
        <v>0</v>
      </c>
      <c r="B3" s="48" t="s">
        <v>30</v>
      </c>
      <c r="C3" s="49" t="s">
        <v>17</v>
      </c>
      <c r="D3" s="49" t="s">
        <v>31</v>
      </c>
      <c r="E3" s="48" t="s">
        <v>32</v>
      </c>
      <c r="F3" s="49" t="s">
        <v>33</v>
      </c>
      <c r="G3" s="49" t="s">
        <v>34</v>
      </c>
      <c r="H3" s="48"/>
      <c r="I3" s="48"/>
      <c r="J3" s="48"/>
      <c r="K3" s="48"/>
      <c r="L3" s="48"/>
      <c r="M3" s="48"/>
      <c r="N3" s="48" t="s">
        <v>30</v>
      </c>
      <c r="O3" s="48" t="s">
        <v>332</v>
      </c>
      <c r="P3" s="49" t="s">
        <v>35</v>
      </c>
      <c r="Q3" s="48" t="s">
        <v>36</v>
      </c>
      <c r="R3" s="48" t="s">
        <v>37</v>
      </c>
      <c r="S3" s="49" t="s">
        <v>38</v>
      </c>
      <c r="T3" s="49" t="s">
        <v>39</v>
      </c>
      <c r="U3" s="48"/>
      <c r="V3" s="53" t="s">
        <v>457</v>
      </c>
      <c r="W3" s="48" t="s">
        <v>40</v>
      </c>
      <c r="X3" s="51" t="s">
        <v>456</v>
      </c>
      <c r="Z3" s="65" t="s">
        <v>489</v>
      </c>
      <c r="AA3" s="66" t="s">
        <v>481</v>
      </c>
    </row>
    <row r="4" spans="1:28" s="40" customFormat="1" ht="20.100000000000001" customHeight="1" x14ac:dyDescent="0.3">
      <c r="A4" s="35" t="b">
        <f>COUNTIF(TF_std!$A$2:$A$25, B4)&gt;0</f>
        <v>1</v>
      </c>
      <c r="B4" s="36" t="s">
        <v>41</v>
      </c>
      <c r="C4" s="37" t="s">
        <v>42</v>
      </c>
      <c r="D4" s="37" t="s">
        <v>43</v>
      </c>
      <c r="E4" s="36" t="s">
        <v>358</v>
      </c>
      <c r="F4" s="37" t="s">
        <v>44</v>
      </c>
      <c r="G4" s="37" t="s">
        <v>45</v>
      </c>
      <c r="H4" s="35" t="s">
        <v>46</v>
      </c>
      <c r="I4" s="35" t="s">
        <v>357</v>
      </c>
      <c r="J4" s="38" t="s">
        <v>23</v>
      </c>
      <c r="K4" s="35" t="s">
        <v>149</v>
      </c>
      <c r="L4" s="35" t="s">
        <v>371</v>
      </c>
      <c r="M4" s="55" t="s">
        <v>378</v>
      </c>
      <c r="N4" s="35" t="s">
        <v>46</v>
      </c>
      <c r="O4" s="35" t="s">
        <v>357</v>
      </c>
      <c r="P4" s="38" t="s">
        <v>23</v>
      </c>
      <c r="Q4" s="35" t="s">
        <v>47</v>
      </c>
      <c r="R4" s="35" t="s">
        <v>48</v>
      </c>
      <c r="S4" s="38" t="s">
        <v>49</v>
      </c>
      <c r="T4" s="38" t="s">
        <v>50</v>
      </c>
      <c r="U4" s="35" t="s">
        <v>51</v>
      </c>
      <c r="V4" s="42" t="s">
        <v>378</v>
      </c>
      <c r="W4" s="35" t="s">
        <v>335</v>
      </c>
      <c r="X4" s="39" t="s">
        <v>333</v>
      </c>
      <c r="Z4" s="65" t="s">
        <v>490</v>
      </c>
      <c r="AA4" s="66" t="s">
        <v>482</v>
      </c>
    </row>
    <row r="5" spans="1:28" s="40" customFormat="1" ht="20.100000000000001" customHeight="1" x14ac:dyDescent="0.3">
      <c r="A5" s="35" t="b">
        <f>COUNTIF(TF_std!$A$2:$A$25, B5)&gt;0</f>
        <v>0</v>
      </c>
      <c r="B5" s="48" t="s">
        <v>52</v>
      </c>
      <c r="C5" s="49" t="s">
        <v>53</v>
      </c>
      <c r="D5" s="49" t="s">
        <v>54</v>
      </c>
      <c r="E5" s="48" t="s">
        <v>55</v>
      </c>
      <c r="F5" s="49" t="s">
        <v>56</v>
      </c>
      <c r="G5" s="49" t="s">
        <v>57</v>
      </c>
      <c r="H5" s="48"/>
      <c r="I5" s="48"/>
      <c r="J5" s="48"/>
      <c r="K5" s="48"/>
      <c r="L5" s="48"/>
      <c r="M5" s="48"/>
      <c r="N5" s="48" t="s">
        <v>58</v>
      </c>
      <c r="O5" s="48" t="s">
        <v>59</v>
      </c>
      <c r="P5" s="49" t="s">
        <v>35</v>
      </c>
      <c r="Q5" s="48" t="s">
        <v>36</v>
      </c>
      <c r="R5" s="48" t="s">
        <v>60</v>
      </c>
      <c r="S5" s="49" t="s">
        <v>61</v>
      </c>
      <c r="T5" s="49" t="s">
        <v>62</v>
      </c>
      <c r="U5" s="48"/>
      <c r="V5" s="53" t="s">
        <v>458</v>
      </c>
      <c r="W5" s="48" t="s">
        <v>63</v>
      </c>
      <c r="X5" s="51" t="s">
        <v>455</v>
      </c>
      <c r="Z5" s="65" t="s">
        <v>491</v>
      </c>
      <c r="AA5" s="66"/>
    </row>
    <row r="6" spans="1:28" s="40" customFormat="1" ht="20.100000000000001" customHeight="1" x14ac:dyDescent="0.3">
      <c r="A6" s="35" t="b">
        <f>COUNTIF(TF_std!$A$2:$A$25, B6)&gt;0</f>
        <v>0</v>
      </c>
      <c r="B6" s="43" t="s">
        <v>64</v>
      </c>
      <c r="C6" s="44" t="s">
        <v>65</v>
      </c>
      <c r="D6" s="44" t="s">
        <v>66</v>
      </c>
      <c r="E6" s="43" t="s">
        <v>336</v>
      </c>
      <c r="F6" s="44" t="s">
        <v>67</v>
      </c>
      <c r="G6" s="44" t="s">
        <v>68</v>
      </c>
      <c r="H6" s="43"/>
      <c r="I6" s="43"/>
      <c r="J6" s="43"/>
      <c r="K6" s="43"/>
      <c r="L6" s="43"/>
      <c r="M6" s="43"/>
      <c r="N6" s="43" t="s">
        <v>64</v>
      </c>
      <c r="O6" s="56" t="s">
        <v>437</v>
      </c>
      <c r="P6" s="44" t="s">
        <v>35</v>
      </c>
      <c r="Q6" s="43" t="s">
        <v>36</v>
      </c>
      <c r="R6" s="43" t="s">
        <v>60</v>
      </c>
      <c r="S6" s="44" t="s">
        <v>69</v>
      </c>
      <c r="T6" s="44" t="s">
        <v>70</v>
      </c>
      <c r="U6" s="43"/>
      <c r="V6" s="52" t="s">
        <v>459</v>
      </c>
      <c r="W6" s="43" t="s">
        <v>337</v>
      </c>
      <c r="X6" s="46" t="s">
        <v>438</v>
      </c>
      <c r="Z6" s="65" t="s">
        <v>492</v>
      </c>
      <c r="AA6" s="66" t="s">
        <v>483</v>
      </c>
    </row>
    <row r="7" spans="1:28" s="40" customFormat="1" ht="20.100000000000001" customHeight="1" x14ac:dyDescent="0.3">
      <c r="A7" s="35" t="b">
        <f>COUNTIF(TF_std!$A$2:$A$25, B7)&gt;0</f>
        <v>0</v>
      </c>
      <c r="B7" s="36" t="s">
        <v>71</v>
      </c>
      <c r="C7" s="37" t="s">
        <v>42</v>
      </c>
      <c r="D7" s="37" t="s">
        <v>72</v>
      </c>
      <c r="E7" s="36" t="s">
        <v>73</v>
      </c>
      <c r="F7" s="37" t="s">
        <v>74</v>
      </c>
      <c r="G7" s="37" t="s">
        <v>75</v>
      </c>
      <c r="H7" s="35"/>
      <c r="I7" s="35"/>
      <c r="J7" s="35"/>
      <c r="K7" s="35"/>
      <c r="L7" s="35"/>
      <c r="M7" s="35"/>
      <c r="N7" s="35" t="s">
        <v>71</v>
      </c>
      <c r="O7" s="35" t="s">
        <v>76</v>
      </c>
      <c r="P7" s="38" t="s">
        <v>23</v>
      </c>
      <c r="Q7" s="35" t="s">
        <v>47</v>
      </c>
      <c r="R7" s="35" t="s">
        <v>48</v>
      </c>
      <c r="S7" s="38" t="s">
        <v>77</v>
      </c>
      <c r="T7" s="38" t="s">
        <v>78</v>
      </c>
      <c r="U7" s="35" t="s">
        <v>79</v>
      </c>
      <c r="V7" s="42" t="s">
        <v>431</v>
      </c>
      <c r="W7" s="35" t="s">
        <v>80</v>
      </c>
      <c r="X7" s="39" t="s">
        <v>333</v>
      </c>
      <c r="Z7" s="65" t="s">
        <v>493</v>
      </c>
      <c r="AA7" s="66" t="s">
        <v>484</v>
      </c>
    </row>
    <row r="8" spans="1:28" s="40" customFormat="1" ht="20.100000000000001" customHeight="1" x14ac:dyDescent="0.3">
      <c r="A8" s="35" t="b">
        <f>COUNTIF(TF_std!$A$2:$A$25, B8)&gt;0</f>
        <v>0</v>
      </c>
      <c r="B8" s="36" t="s">
        <v>81</v>
      </c>
      <c r="C8" s="37" t="s">
        <v>42</v>
      </c>
      <c r="D8" s="37" t="s">
        <v>82</v>
      </c>
      <c r="E8" s="36"/>
      <c r="F8" s="37" t="s">
        <v>83</v>
      </c>
      <c r="G8" s="37" t="s">
        <v>84</v>
      </c>
      <c r="H8" s="35"/>
      <c r="I8" s="35"/>
      <c r="J8" s="35"/>
      <c r="K8" s="35"/>
      <c r="L8" s="35"/>
      <c r="M8" s="35"/>
      <c r="N8" s="35" t="s">
        <v>81</v>
      </c>
      <c r="O8" s="35" t="s">
        <v>85</v>
      </c>
      <c r="P8" s="38" t="s">
        <v>23</v>
      </c>
      <c r="Q8" s="35" t="s">
        <v>47</v>
      </c>
      <c r="R8" s="35" t="s">
        <v>86</v>
      </c>
      <c r="S8" s="38" t="s">
        <v>87</v>
      </c>
      <c r="T8" s="38" t="s">
        <v>88</v>
      </c>
      <c r="U8" s="35" t="s">
        <v>89</v>
      </c>
      <c r="V8" s="42" t="s">
        <v>432</v>
      </c>
      <c r="W8" s="35" t="s">
        <v>90</v>
      </c>
      <c r="X8" s="39" t="s">
        <v>333</v>
      </c>
      <c r="Z8" s="65" t="s">
        <v>494</v>
      </c>
      <c r="AA8" s="66" t="s">
        <v>485</v>
      </c>
    </row>
    <row r="9" spans="1:28" s="40" customFormat="1" ht="20.100000000000001" customHeight="1" x14ac:dyDescent="0.3">
      <c r="A9" s="35" t="b">
        <f>COUNTIF(TF_std!$A$2:$A$25, B9)&gt;0</f>
        <v>1</v>
      </c>
      <c r="B9" s="43" t="s">
        <v>91</v>
      </c>
      <c r="C9" s="44" t="s">
        <v>42</v>
      </c>
      <c r="D9" s="44" t="s">
        <v>92</v>
      </c>
      <c r="E9" s="43" t="s">
        <v>93</v>
      </c>
      <c r="F9" s="44" t="s">
        <v>94</v>
      </c>
      <c r="G9" s="44" t="s">
        <v>95</v>
      </c>
      <c r="H9" s="43" t="s">
        <v>96</v>
      </c>
      <c r="I9" s="43" t="s">
        <v>97</v>
      </c>
      <c r="J9" s="44" t="s">
        <v>35</v>
      </c>
      <c r="K9" s="43" t="s">
        <v>36</v>
      </c>
      <c r="L9" s="43" t="s">
        <v>283</v>
      </c>
      <c r="M9" s="57" t="s">
        <v>382</v>
      </c>
      <c r="N9" s="43" t="s">
        <v>96</v>
      </c>
      <c r="O9" s="43" t="s">
        <v>97</v>
      </c>
      <c r="P9" s="44" t="s">
        <v>35</v>
      </c>
      <c r="Q9" s="43" t="s">
        <v>36</v>
      </c>
      <c r="R9" s="43" t="s">
        <v>60</v>
      </c>
      <c r="S9" s="44" t="s">
        <v>98</v>
      </c>
      <c r="T9" s="44" t="s">
        <v>99</v>
      </c>
      <c r="U9" s="43"/>
      <c r="V9" s="52" t="s">
        <v>460</v>
      </c>
      <c r="W9" s="43" t="s">
        <v>100</v>
      </c>
      <c r="X9" s="46" t="s">
        <v>454</v>
      </c>
      <c r="Z9" s="65" t="s">
        <v>495</v>
      </c>
      <c r="AA9" s="66" t="s">
        <v>486</v>
      </c>
    </row>
    <row r="10" spans="1:28" s="40" customFormat="1" ht="20.100000000000001" customHeight="1" x14ac:dyDescent="0.3">
      <c r="A10" s="35" t="b">
        <f>COUNTIF(TF_std!$A$2:$A$25, B10)&gt;0</f>
        <v>1</v>
      </c>
      <c r="B10" s="43" t="s">
        <v>101</v>
      </c>
      <c r="C10" s="44" t="s">
        <v>42</v>
      </c>
      <c r="D10" s="44" t="s">
        <v>82</v>
      </c>
      <c r="E10" s="43" t="s">
        <v>338</v>
      </c>
      <c r="F10" s="44" t="s">
        <v>102</v>
      </c>
      <c r="G10" s="44" t="s">
        <v>103</v>
      </c>
      <c r="H10" s="43" t="s">
        <v>101</v>
      </c>
      <c r="I10" s="43" t="s">
        <v>339</v>
      </c>
      <c r="J10" s="44" t="s">
        <v>35</v>
      </c>
      <c r="K10" s="43" t="s">
        <v>36</v>
      </c>
      <c r="L10" s="43" t="s">
        <v>283</v>
      </c>
      <c r="M10" s="57" t="s">
        <v>385</v>
      </c>
      <c r="N10" s="43" t="s">
        <v>101</v>
      </c>
      <c r="O10" s="43" t="s">
        <v>339</v>
      </c>
      <c r="P10" s="44" t="s">
        <v>35</v>
      </c>
      <c r="Q10" s="43" t="s">
        <v>36</v>
      </c>
      <c r="R10" s="43" t="s">
        <v>452</v>
      </c>
      <c r="S10" s="44" t="s">
        <v>104</v>
      </c>
      <c r="T10" s="44" t="s">
        <v>105</v>
      </c>
      <c r="U10" s="43"/>
      <c r="V10" s="52" t="s">
        <v>461</v>
      </c>
      <c r="W10" s="43" t="s">
        <v>340</v>
      </c>
      <c r="X10" s="46" t="s">
        <v>454</v>
      </c>
      <c r="Z10" s="65" t="s">
        <v>496</v>
      </c>
      <c r="AA10" s="66" t="s">
        <v>487</v>
      </c>
    </row>
    <row r="11" spans="1:28" s="40" customFormat="1" ht="20.100000000000001" customHeight="1" thickBot="1" x14ac:dyDescent="0.35">
      <c r="A11" s="35" t="b">
        <f>COUNTIF(TF_std!$A$2:$A$25, B11)&gt;0</f>
        <v>0</v>
      </c>
      <c r="B11" s="48" t="s">
        <v>106</v>
      </c>
      <c r="C11" s="49" t="s">
        <v>17</v>
      </c>
      <c r="D11" s="49" t="s">
        <v>18</v>
      </c>
      <c r="E11" s="48" t="s">
        <v>107</v>
      </c>
      <c r="F11" s="49" t="s">
        <v>108</v>
      </c>
      <c r="G11" s="49" t="s">
        <v>109</v>
      </c>
      <c r="H11" s="48"/>
      <c r="I11" s="48"/>
      <c r="J11" s="48"/>
      <c r="K11" s="48"/>
      <c r="L11" s="48"/>
      <c r="M11" s="48"/>
      <c r="N11" s="48" t="s">
        <v>106</v>
      </c>
      <c r="O11" s="48" t="s">
        <v>110</v>
      </c>
      <c r="P11" s="49" t="s">
        <v>35</v>
      </c>
      <c r="Q11" s="48" t="s">
        <v>36</v>
      </c>
      <c r="R11" s="48" t="s">
        <v>37</v>
      </c>
      <c r="S11" s="49" t="s">
        <v>111</v>
      </c>
      <c r="T11" s="49" t="s">
        <v>112</v>
      </c>
      <c r="U11" s="48"/>
      <c r="V11" s="53" t="s">
        <v>462</v>
      </c>
      <c r="W11" s="48" t="s">
        <v>113</v>
      </c>
      <c r="X11" s="51" t="s">
        <v>439</v>
      </c>
      <c r="Z11" s="67" t="s">
        <v>497</v>
      </c>
      <c r="AA11" s="68" t="s">
        <v>488</v>
      </c>
    </row>
    <row r="12" spans="1:28" s="40" customFormat="1" ht="20.100000000000001" customHeight="1" x14ac:dyDescent="0.3">
      <c r="A12" s="35" t="b">
        <f>COUNTIF(TF_std!$A$2:$A$25, B12)&gt;0</f>
        <v>0</v>
      </c>
      <c r="B12" s="43" t="s">
        <v>440</v>
      </c>
      <c r="C12" s="44" t="s">
        <v>17</v>
      </c>
      <c r="D12" s="44" t="s">
        <v>18</v>
      </c>
      <c r="E12" s="43" t="s">
        <v>114</v>
      </c>
      <c r="F12" s="44" t="s">
        <v>115</v>
      </c>
      <c r="G12" s="44" t="s">
        <v>116</v>
      </c>
      <c r="H12" s="43"/>
      <c r="I12" s="43"/>
      <c r="J12" s="43"/>
      <c r="K12" s="43"/>
      <c r="L12" s="43"/>
      <c r="M12" s="43"/>
      <c r="N12" s="43" t="s">
        <v>117</v>
      </c>
      <c r="O12" s="43" t="s">
        <v>118</v>
      </c>
      <c r="P12" s="44" t="s">
        <v>35</v>
      </c>
      <c r="Q12" s="43" t="s">
        <v>119</v>
      </c>
      <c r="R12" s="43" t="s">
        <v>120</v>
      </c>
      <c r="S12" s="44" t="s">
        <v>121</v>
      </c>
      <c r="T12" s="44" t="s">
        <v>122</v>
      </c>
      <c r="U12" s="43"/>
      <c r="V12" s="47" t="s">
        <v>442</v>
      </c>
      <c r="W12" s="43" t="s">
        <v>123</v>
      </c>
      <c r="X12" s="46" t="s">
        <v>441</v>
      </c>
      <c r="Z12" s="40" t="s">
        <v>501</v>
      </c>
    </row>
    <row r="13" spans="1:28" s="40" customFormat="1" ht="20.100000000000001" customHeight="1" x14ac:dyDescent="0.3">
      <c r="A13" s="35" t="b">
        <f>COUNTIF(TF_std!$A$2:$A$25, B13)&gt;0</f>
        <v>1</v>
      </c>
      <c r="B13" s="36" t="s">
        <v>124</v>
      </c>
      <c r="C13" s="37" t="s">
        <v>125</v>
      </c>
      <c r="D13" s="37" t="s">
        <v>126</v>
      </c>
      <c r="E13" s="36" t="s">
        <v>127</v>
      </c>
      <c r="F13" s="37" t="s">
        <v>128</v>
      </c>
      <c r="G13" s="37" t="s">
        <v>129</v>
      </c>
      <c r="H13" s="35" t="s">
        <v>124</v>
      </c>
      <c r="I13" s="35" t="s">
        <v>359</v>
      </c>
      <c r="J13" s="38" t="s">
        <v>23</v>
      </c>
      <c r="K13" s="35" t="s">
        <v>149</v>
      </c>
      <c r="L13" s="35" t="s">
        <v>371</v>
      </c>
      <c r="M13" s="55" t="s">
        <v>391</v>
      </c>
      <c r="N13" s="35" t="s">
        <v>124</v>
      </c>
      <c r="O13" s="35" t="s">
        <v>130</v>
      </c>
      <c r="P13" s="38" t="s">
        <v>23</v>
      </c>
      <c r="Q13" s="35" t="s">
        <v>47</v>
      </c>
      <c r="R13" s="35" t="s">
        <v>48</v>
      </c>
      <c r="S13" s="38" t="s">
        <v>131</v>
      </c>
      <c r="T13" s="38" t="s">
        <v>132</v>
      </c>
      <c r="U13" s="35" t="s">
        <v>133</v>
      </c>
      <c r="V13" s="42" t="s">
        <v>433</v>
      </c>
      <c r="W13" s="35" t="s">
        <v>134</v>
      </c>
      <c r="X13" s="39" t="s">
        <v>333</v>
      </c>
    </row>
    <row r="14" spans="1:28" s="40" customFormat="1" ht="20.100000000000001" customHeight="1" x14ac:dyDescent="0.3">
      <c r="A14" s="35" t="b">
        <f>COUNTIF(TF_std!$A$2:$A$25, B14)&gt;0</f>
        <v>1</v>
      </c>
      <c r="B14" s="48" t="s">
        <v>135</v>
      </c>
      <c r="C14" s="49" t="s">
        <v>136</v>
      </c>
      <c r="D14" s="49" t="s">
        <v>137</v>
      </c>
      <c r="E14" s="48" t="s">
        <v>138</v>
      </c>
      <c r="F14" s="49" t="s">
        <v>139</v>
      </c>
      <c r="G14" s="49" t="s">
        <v>140</v>
      </c>
      <c r="H14" s="48" t="s">
        <v>135</v>
      </c>
      <c r="I14" s="48" t="s">
        <v>360</v>
      </c>
      <c r="J14" s="49" t="s">
        <v>23</v>
      </c>
      <c r="K14" s="48" t="s">
        <v>369</v>
      </c>
      <c r="L14" s="48" t="s">
        <v>372</v>
      </c>
      <c r="M14" s="58" t="s">
        <v>400</v>
      </c>
      <c r="N14" s="48" t="s">
        <v>135</v>
      </c>
      <c r="O14" s="48" t="s">
        <v>141</v>
      </c>
      <c r="P14" s="49" t="s">
        <v>35</v>
      </c>
      <c r="Q14" s="48" t="s">
        <v>36</v>
      </c>
      <c r="R14" s="48" t="s">
        <v>37</v>
      </c>
      <c r="S14" s="49" t="s">
        <v>142</v>
      </c>
      <c r="T14" s="49" t="s">
        <v>143</v>
      </c>
      <c r="U14" s="48"/>
      <c r="V14" s="53" t="s">
        <v>463</v>
      </c>
      <c r="W14" s="48" t="s">
        <v>144</v>
      </c>
      <c r="X14" s="51" t="s">
        <v>443</v>
      </c>
      <c r="Z14" s="70" t="s">
        <v>504</v>
      </c>
      <c r="AA14" s="70">
        <f>ROWS(B2:B39)</f>
        <v>38</v>
      </c>
    </row>
    <row r="15" spans="1:28" s="40" customFormat="1" ht="20.100000000000001" customHeight="1" x14ac:dyDescent="0.3">
      <c r="A15" s="35" t="b">
        <f>COUNTIF(TF_std!$A$2:$A$25, B15)&gt;0</f>
        <v>0</v>
      </c>
      <c r="B15" s="48" t="s">
        <v>145</v>
      </c>
      <c r="C15" s="49" t="s">
        <v>42</v>
      </c>
      <c r="D15" s="49" t="s">
        <v>146</v>
      </c>
      <c r="E15" s="48" t="s">
        <v>444</v>
      </c>
      <c r="F15" s="49" t="s">
        <v>147</v>
      </c>
      <c r="G15" s="49" t="s">
        <v>148</v>
      </c>
      <c r="H15" s="48"/>
      <c r="I15" s="48"/>
      <c r="J15" s="48"/>
      <c r="K15" s="48"/>
      <c r="L15" s="48"/>
      <c r="M15" s="48"/>
      <c r="N15" s="48" t="s">
        <v>145</v>
      </c>
      <c r="O15" s="48" t="s">
        <v>341</v>
      </c>
      <c r="P15" s="49" t="s">
        <v>23</v>
      </c>
      <c r="Q15" s="48" t="s">
        <v>149</v>
      </c>
      <c r="R15" s="48" t="s">
        <v>150</v>
      </c>
      <c r="S15" s="49" t="s">
        <v>151</v>
      </c>
      <c r="T15" s="49" t="s">
        <v>152</v>
      </c>
      <c r="U15" s="48" t="s">
        <v>153</v>
      </c>
      <c r="V15" s="50" t="s">
        <v>434</v>
      </c>
      <c r="W15" s="48" t="s">
        <v>154</v>
      </c>
      <c r="X15" s="51" t="s">
        <v>446</v>
      </c>
      <c r="Z15" s="71" t="s">
        <v>505</v>
      </c>
      <c r="AA15" s="72">
        <f>COUNTIF(P2:P39, "검증 완료")</f>
        <v>13</v>
      </c>
    </row>
    <row r="16" spans="1:28" s="40" customFormat="1" ht="20.100000000000001" customHeight="1" x14ac:dyDescent="0.3">
      <c r="A16" s="35" t="b">
        <f>COUNTIF(TF_std!$A$2:$A$25, B16)&gt;0</f>
        <v>0</v>
      </c>
      <c r="B16" s="48" t="s">
        <v>145</v>
      </c>
      <c r="C16" s="49" t="s">
        <v>42</v>
      </c>
      <c r="D16" s="49" t="s">
        <v>146</v>
      </c>
      <c r="E16" s="48" t="s">
        <v>445</v>
      </c>
      <c r="F16" s="49" t="s">
        <v>155</v>
      </c>
      <c r="G16" s="49" t="s">
        <v>156</v>
      </c>
      <c r="H16" s="48"/>
      <c r="I16" s="48"/>
      <c r="J16" s="48"/>
      <c r="K16" s="48"/>
      <c r="L16" s="48"/>
      <c r="M16" s="48"/>
      <c r="N16" s="48" t="s">
        <v>145</v>
      </c>
      <c r="O16" s="48" t="s">
        <v>341</v>
      </c>
      <c r="P16" s="49" t="s">
        <v>23</v>
      </c>
      <c r="Q16" s="48" t="s">
        <v>149</v>
      </c>
      <c r="R16" s="48" t="s">
        <v>150</v>
      </c>
      <c r="S16" s="49" t="s">
        <v>157</v>
      </c>
      <c r="T16" s="49" t="s">
        <v>158</v>
      </c>
      <c r="U16" s="48" t="s">
        <v>153</v>
      </c>
      <c r="V16" s="50" t="s">
        <v>434</v>
      </c>
      <c r="W16" s="48" t="s">
        <v>154</v>
      </c>
      <c r="X16" s="51" t="s">
        <v>446</v>
      </c>
      <c r="Z16" s="65" t="s">
        <v>506</v>
      </c>
      <c r="AA16" s="66">
        <f>COUNTIF(P3:P40, "확인 필요")</f>
        <v>24</v>
      </c>
    </row>
    <row r="17" spans="1:27" s="40" customFormat="1" ht="20.100000000000001" customHeight="1" thickBot="1" x14ac:dyDescent="0.35">
      <c r="A17" s="35" t="b">
        <f>COUNTIF(TF_std!$A$2:$A$25, B17)&gt;0</f>
        <v>0</v>
      </c>
      <c r="B17" s="43" t="s">
        <v>145</v>
      </c>
      <c r="C17" s="44" t="s">
        <v>42</v>
      </c>
      <c r="D17" s="44" t="s">
        <v>159</v>
      </c>
      <c r="E17" s="43" t="s">
        <v>160</v>
      </c>
      <c r="F17" s="44" t="s">
        <v>161</v>
      </c>
      <c r="G17" s="44" t="s">
        <v>162</v>
      </c>
      <c r="H17" s="43"/>
      <c r="I17" s="43"/>
      <c r="J17" s="43"/>
      <c r="K17" s="43"/>
      <c r="L17" s="43"/>
      <c r="M17" s="43"/>
      <c r="N17" s="43" t="s">
        <v>145</v>
      </c>
      <c r="O17" s="43" t="s">
        <v>163</v>
      </c>
      <c r="P17" s="44" t="s">
        <v>35</v>
      </c>
      <c r="Q17" s="43" t="s">
        <v>119</v>
      </c>
      <c r="R17" s="43" t="s">
        <v>120</v>
      </c>
      <c r="S17" s="44" t="s">
        <v>164</v>
      </c>
      <c r="T17" s="44" t="s">
        <v>165</v>
      </c>
      <c r="U17" s="43"/>
      <c r="V17" s="45" t="s">
        <v>434</v>
      </c>
      <c r="W17" s="43" t="s">
        <v>166</v>
      </c>
      <c r="X17" s="46" t="s">
        <v>441</v>
      </c>
      <c r="Z17" s="67" t="s">
        <v>507</v>
      </c>
      <c r="AA17" s="68">
        <f>COUNTIF(P4:P41, "실패")</f>
        <v>1</v>
      </c>
    </row>
    <row r="18" spans="1:27" s="40" customFormat="1" ht="20.100000000000001" customHeight="1" x14ac:dyDescent="0.3">
      <c r="A18" s="35" t="b">
        <f>COUNTIF(TF_std!$A$2:$A$25, B18)&gt;0</f>
        <v>1</v>
      </c>
      <c r="B18" s="36" t="s">
        <v>167</v>
      </c>
      <c r="C18" s="37" t="s">
        <v>17</v>
      </c>
      <c r="D18" s="37" t="s">
        <v>18</v>
      </c>
      <c r="E18" s="36" t="s">
        <v>168</v>
      </c>
      <c r="F18" s="37" t="s">
        <v>169</v>
      </c>
      <c r="G18" s="37" t="s">
        <v>170</v>
      </c>
      <c r="H18" s="35" t="s">
        <v>167</v>
      </c>
      <c r="I18" s="35" t="s">
        <v>171</v>
      </c>
      <c r="J18" s="38" t="s">
        <v>23</v>
      </c>
      <c r="K18" s="35" t="s">
        <v>24</v>
      </c>
      <c r="L18" s="35" t="s">
        <v>322</v>
      </c>
      <c r="M18" s="55" t="s">
        <v>393</v>
      </c>
      <c r="N18" s="35" t="s">
        <v>167</v>
      </c>
      <c r="O18" s="35" t="s">
        <v>171</v>
      </c>
      <c r="P18" s="38" t="s">
        <v>23</v>
      </c>
      <c r="Q18" s="35" t="s">
        <v>24</v>
      </c>
      <c r="R18" s="35" t="s">
        <v>25</v>
      </c>
      <c r="S18" s="38" t="s">
        <v>172</v>
      </c>
      <c r="T18" s="38" t="s">
        <v>173</v>
      </c>
      <c r="U18" s="35" t="s">
        <v>174</v>
      </c>
      <c r="V18" s="42" t="s">
        <v>393</v>
      </c>
      <c r="W18" s="35" t="s">
        <v>175</v>
      </c>
      <c r="X18" s="39" t="s">
        <v>333</v>
      </c>
    </row>
    <row r="19" spans="1:27" s="40" customFormat="1" ht="20.100000000000001" customHeight="1" x14ac:dyDescent="0.3">
      <c r="A19" s="35" t="b">
        <f>COUNTIF(TF_std!$A$2:$A$25, B19)&gt;0</f>
        <v>1</v>
      </c>
      <c r="B19" s="48" t="s">
        <v>176</v>
      </c>
      <c r="C19" s="49" t="s">
        <v>17</v>
      </c>
      <c r="D19" s="49" t="s">
        <v>18</v>
      </c>
      <c r="E19" s="48" t="s">
        <v>177</v>
      </c>
      <c r="F19" s="49" t="s">
        <v>178</v>
      </c>
      <c r="G19" s="49" t="s">
        <v>179</v>
      </c>
      <c r="H19" s="48" t="s">
        <v>176</v>
      </c>
      <c r="I19" s="48" t="s">
        <v>180</v>
      </c>
      <c r="J19" s="49" t="s">
        <v>35</v>
      </c>
      <c r="K19" s="48" t="s">
        <v>36</v>
      </c>
      <c r="L19" s="48" t="s">
        <v>283</v>
      </c>
      <c r="M19" s="58" t="s">
        <v>394</v>
      </c>
      <c r="N19" s="48" t="s">
        <v>176</v>
      </c>
      <c r="O19" s="48" t="s">
        <v>180</v>
      </c>
      <c r="P19" s="49" t="s">
        <v>35</v>
      </c>
      <c r="Q19" s="48" t="s">
        <v>36</v>
      </c>
      <c r="R19" s="48" t="s">
        <v>37</v>
      </c>
      <c r="S19" s="49" t="s">
        <v>181</v>
      </c>
      <c r="T19" s="49" t="s">
        <v>182</v>
      </c>
      <c r="U19" s="48"/>
      <c r="V19" s="53" t="s">
        <v>464</v>
      </c>
      <c r="W19" s="48" t="s">
        <v>183</v>
      </c>
      <c r="X19" s="51" t="s">
        <v>451</v>
      </c>
    </row>
    <row r="20" spans="1:27" s="40" customFormat="1" ht="20.100000000000001" customHeight="1" x14ac:dyDescent="0.3">
      <c r="A20" s="35" t="b">
        <f>COUNTIF(TF_std!$A$2:$A$25, B20)&gt;0</f>
        <v>1</v>
      </c>
      <c r="B20" s="48" t="s">
        <v>184</v>
      </c>
      <c r="C20" s="49" t="s">
        <v>125</v>
      </c>
      <c r="D20" s="49" t="s">
        <v>185</v>
      </c>
      <c r="E20" s="48" t="s">
        <v>447</v>
      </c>
      <c r="F20" s="49" t="s">
        <v>186</v>
      </c>
      <c r="G20" s="49" t="s">
        <v>187</v>
      </c>
      <c r="H20" s="48" t="s">
        <v>184</v>
      </c>
      <c r="I20" s="48"/>
      <c r="J20" s="49" t="s">
        <v>35</v>
      </c>
      <c r="K20" s="48" t="s">
        <v>36</v>
      </c>
      <c r="L20" s="48" t="s">
        <v>283</v>
      </c>
      <c r="M20" s="58" t="s">
        <v>397</v>
      </c>
      <c r="N20" s="48" t="s">
        <v>184</v>
      </c>
      <c r="O20" s="48" t="s">
        <v>188</v>
      </c>
      <c r="P20" s="49" t="s">
        <v>35</v>
      </c>
      <c r="Q20" s="48" t="s">
        <v>36</v>
      </c>
      <c r="R20" s="48" t="s">
        <v>452</v>
      </c>
      <c r="S20" s="49" t="s">
        <v>189</v>
      </c>
      <c r="T20" s="49" t="s">
        <v>190</v>
      </c>
      <c r="U20" s="48"/>
      <c r="V20" s="53" t="s">
        <v>465</v>
      </c>
      <c r="W20" s="48" t="s">
        <v>191</v>
      </c>
      <c r="X20" s="51" t="s">
        <v>448</v>
      </c>
    </row>
    <row r="21" spans="1:27" s="40" customFormat="1" ht="20.100000000000001" customHeight="1" x14ac:dyDescent="0.3">
      <c r="A21" s="35" t="b">
        <f>COUNTIF(TF_std!$A$2:$A$25, B21)&gt;0</f>
        <v>1</v>
      </c>
      <c r="B21" s="48" t="s">
        <v>192</v>
      </c>
      <c r="C21" s="49" t="s">
        <v>193</v>
      </c>
      <c r="D21" s="49" t="s">
        <v>194</v>
      </c>
      <c r="E21" s="48" t="s">
        <v>195</v>
      </c>
      <c r="F21" s="49" t="s">
        <v>196</v>
      </c>
      <c r="G21" s="49" t="s">
        <v>197</v>
      </c>
      <c r="H21" s="48" t="s">
        <v>192</v>
      </c>
      <c r="I21" s="48" t="s">
        <v>361</v>
      </c>
      <c r="J21" s="49" t="s">
        <v>35</v>
      </c>
      <c r="K21" s="48" t="s">
        <v>36</v>
      </c>
      <c r="L21" s="48" t="s">
        <v>283</v>
      </c>
      <c r="M21" s="58" t="s">
        <v>398</v>
      </c>
      <c r="N21" s="48" t="s">
        <v>192</v>
      </c>
      <c r="O21" s="48" t="s">
        <v>198</v>
      </c>
      <c r="P21" s="49" t="s">
        <v>35</v>
      </c>
      <c r="Q21" s="48" t="s">
        <v>36</v>
      </c>
      <c r="R21" s="48" t="s">
        <v>37</v>
      </c>
      <c r="S21" s="49" t="s">
        <v>199</v>
      </c>
      <c r="T21" s="49" t="s">
        <v>200</v>
      </c>
      <c r="U21" s="48"/>
      <c r="V21" s="53" t="s">
        <v>466</v>
      </c>
      <c r="W21" s="48" t="s">
        <v>201</v>
      </c>
      <c r="X21" s="51" t="s">
        <v>449</v>
      </c>
    </row>
    <row r="22" spans="1:27" s="40" customFormat="1" ht="20.100000000000001" customHeight="1" x14ac:dyDescent="0.3">
      <c r="A22" s="35" t="b">
        <f>COUNTIF(TF_std!$A$2:$A$25, B22)&gt;0</f>
        <v>1</v>
      </c>
      <c r="B22" s="43" t="s">
        <v>135</v>
      </c>
      <c r="C22" s="44" t="s">
        <v>136</v>
      </c>
      <c r="D22" s="44" t="s">
        <v>137</v>
      </c>
      <c r="E22" s="43" t="s">
        <v>202</v>
      </c>
      <c r="F22" s="44" t="s">
        <v>203</v>
      </c>
      <c r="G22" s="44" t="s">
        <v>204</v>
      </c>
      <c r="H22" s="43" t="s">
        <v>135</v>
      </c>
      <c r="I22" s="43" t="s">
        <v>198</v>
      </c>
      <c r="J22" s="44" t="s">
        <v>23</v>
      </c>
      <c r="K22" s="43" t="s">
        <v>369</v>
      </c>
      <c r="L22" s="43" t="s">
        <v>372</v>
      </c>
      <c r="M22" s="57" t="s">
        <v>400</v>
      </c>
      <c r="N22" s="43" t="s">
        <v>135</v>
      </c>
      <c r="O22" s="43" t="s">
        <v>205</v>
      </c>
      <c r="P22" s="44" t="s">
        <v>35</v>
      </c>
      <c r="Q22" s="43" t="s">
        <v>119</v>
      </c>
      <c r="R22" s="43" t="s">
        <v>120</v>
      </c>
      <c r="S22" s="44" t="s">
        <v>206</v>
      </c>
      <c r="T22" s="44" t="s">
        <v>207</v>
      </c>
      <c r="U22" s="43"/>
      <c r="V22" s="45" t="s">
        <v>400</v>
      </c>
      <c r="W22" s="43" t="s">
        <v>208</v>
      </c>
      <c r="X22" s="46" t="s">
        <v>441</v>
      </c>
    </row>
    <row r="23" spans="1:27" s="40" customFormat="1" ht="20.100000000000001" customHeight="1" x14ac:dyDescent="0.3">
      <c r="A23" s="61" t="b">
        <f>COUNTIF(TF_std!$A$2:$A$25, B23)&gt;0</f>
        <v>1</v>
      </c>
      <c r="B23" s="43" t="s">
        <v>209</v>
      </c>
      <c r="C23" s="44" t="s">
        <v>42</v>
      </c>
      <c r="D23" s="44" t="s">
        <v>159</v>
      </c>
      <c r="E23" s="43" t="s">
        <v>210</v>
      </c>
      <c r="F23" s="44" t="s">
        <v>211</v>
      </c>
      <c r="G23" s="44" t="s">
        <v>212</v>
      </c>
      <c r="H23" s="43" t="s">
        <v>209</v>
      </c>
      <c r="I23" s="43" t="s">
        <v>360</v>
      </c>
      <c r="J23" s="44" t="s">
        <v>23</v>
      </c>
      <c r="K23" s="43" t="s">
        <v>369</v>
      </c>
      <c r="L23" s="43" t="s">
        <v>373</v>
      </c>
      <c r="M23" s="57" t="s">
        <v>404</v>
      </c>
      <c r="N23" s="43" t="s">
        <v>209</v>
      </c>
      <c r="O23" s="43" t="s">
        <v>213</v>
      </c>
      <c r="P23" s="44" t="s">
        <v>35</v>
      </c>
      <c r="Q23" s="43" t="s">
        <v>119</v>
      </c>
      <c r="R23" s="43" t="s">
        <v>120</v>
      </c>
      <c r="S23" s="44" t="s">
        <v>214</v>
      </c>
      <c r="T23" s="44" t="s">
        <v>215</v>
      </c>
      <c r="U23" s="43"/>
      <c r="V23" s="45" t="s">
        <v>404</v>
      </c>
      <c r="W23" s="43" t="s">
        <v>216</v>
      </c>
      <c r="X23" s="46" t="s">
        <v>441</v>
      </c>
    </row>
    <row r="24" spans="1:27" s="40" customFormat="1" ht="20.100000000000001" customHeight="1" x14ac:dyDescent="0.3">
      <c r="A24" s="61" t="b">
        <f>COUNTIF(TF_std!$A$2:$A$25, B24)&gt;0</f>
        <v>1</v>
      </c>
      <c r="B24" s="48" t="s">
        <v>217</v>
      </c>
      <c r="C24" s="49" t="s">
        <v>17</v>
      </c>
      <c r="D24" s="49" t="s">
        <v>18</v>
      </c>
      <c r="E24" s="48" t="s">
        <v>218</v>
      </c>
      <c r="F24" s="49" t="s">
        <v>219</v>
      </c>
      <c r="G24" s="49" t="s">
        <v>220</v>
      </c>
      <c r="H24" s="48" t="s">
        <v>217</v>
      </c>
      <c r="I24" s="48" t="s">
        <v>362</v>
      </c>
      <c r="J24" s="49" t="s">
        <v>35</v>
      </c>
      <c r="K24" s="48" t="s">
        <v>36</v>
      </c>
      <c r="L24" s="48" t="s">
        <v>283</v>
      </c>
      <c r="M24" s="58" t="s">
        <v>406</v>
      </c>
      <c r="N24" s="48" t="s">
        <v>217</v>
      </c>
      <c r="O24" s="48" t="s">
        <v>221</v>
      </c>
      <c r="P24" s="49" t="s">
        <v>35</v>
      </c>
      <c r="Q24" s="48" t="s">
        <v>36</v>
      </c>
      <c r="R24" s="48" t="s">
        <v>37</v>
      </c>
      <c r="S24" s="49" t="s">
        <v>222</v>
      </c>
      <c r="T24" s="49" t="s">
        <v>223</v>
      </c>
      <c r="U24" s="48"/>
      <c r="V24" s="53" t="s">
        <v>467</v>
      </c>
      <c r="W24" s="48" t="s">
        <v>224</v>
      </c>
      <c r="X24" s="51" t="s">
        <v>450</v>
      </c>
    </row>
    <row r="25" spans="1:27" s="40" customFormat="1" ht="20.100000000000001" customHeight="1" x14ac:dyDescent="0.3">
      <c r="A25" s="61" t="b">
        <f>COUNTIF(TF_std!$A$2:$A$25, B25)&gt;0</f>
        <v>1</v>
      </c>
      <c r="B25" s="48" t="s">
        <v>225</v>
      </c>
      <c r="C25" s="49" t="s">
        <v>226</v>
      </c>
      <c r="D25" s="49" t="s">
        <v>227</v>
      </c>
      <c r="E25" s="48" t="s">
        <v>342</v>
      </c>
      <c r="F25" s="49" t="s">
        <v>228</v>
      </c>
      <c r="G25" s="49" t="s">
        <v>229</v>
      </c>
      <c r="H25" s="48" t="s">
        <v>225</v>
      </c>
      <c r="I25" s="48" t="s">
        <v>230</v>
      </c>
      <c r="J25" s="49" t="s">
        <v>35</v>
      </c>
      <c r="K25" s="48" t="s">
        <v>36</v>
      </c>
      <c r="L25" s="48" t="s">
        <v>283</v>
      </c>
      <c r="M25" s="58" t="s">
        <v>407</v>
      </c>
      <c r="N25" s="48" t="s">
        <v>225</v>
      </c>
      <c r="O25" s="48" t="s">
        <v>230</v>
      </c>
      <c r="P25" s="49" t="s">
        <v>35</v>
      </c>
      <c r="Q25" s="48" t="s">
        <v>36</v>
      </c>
      <c r="R25" s="48" t="s">
        <v>60</v>
      </c>
      <c r="S25" s="49" t="s">
        <v>231</v>
      </c>
      <c r="T25" s="49" t="s">
        <v>232</v>
      </c>
      <c r="U25" s="48"/>
      <c r="V25" s="53" t="s">
        <v>468</v>
      </c>
      <c r="W25" s="48" t="s">
        <v>343</v>
      </c>
      <c r="X25" s="51" t="s">
        <v>475</v>
      </c>
    </row>
    <row r="26" spans="1:27" s="40" customFormat="1" ht="20.100000000000001" customHeight="1" x14ac:dyDescent="0.3">
      <c r="A26" s="61" t="b">
        <f>COUNTIF(TF_std!$A$2:$A$25, B26)&gt;0</f>
        <v>1</v>
      </c>
      <c r="B26" s="36" t="s">
        <v>225</v>
      </c>
      <c r="C26" s="37" t="s">
        <v>226</v>
      </c>
      <c r="D26" s="37" t="s">
        <v>227</v>
      </c>
      <c r="E26" s="36" t="s">
        <v>233</v>
      </c>
      <c r="F26" s="37" t="s">
        <v>234</v>
      </c>
      <c r="G26" s="37" t="s">
        <v>235</v>
      </c>
      <c r="H26" s="35" t="s">
        <v>225</v>
      </c>
      <c r="I26" s="35" t="s">
        <v>363</v>
      </c>
      <c r="J26" s="38" t="s">
        <v>35</v>
      </c>
      <c r="K26" s="35" t="s">
        <v>36</v>
      </c>
      <c r="L26" s="35" t="s">
        <v>283</v>
      </c>
      <c r="M26" s="59" t="s">
        <v>411</v>
      </c>
      <c r="N26" s="35" t="s">
        <v>225</v>
      </c>
      <c r="O26" s="35" t="s">
        <v>236</v>
      </c>
      <c r="P26" s="38" t="s">
        <v>35</v>
      </c>
      <c r="Q26" s="35" t="s">
        <v>36</v>
      </c>
      <c r="R26" s="35" t="s">
        <v>60</v>
      </c>
      <c r="S26" s="38" t="s">
        <v>237</v>
      </c>
      <c r="T26" s="38" t="s">
        <v>238</v>
      </c>
      <c r="U26" s="35"/>
      <c r="V26" s="54" t="s">
        <v>469</v>
      </c>
      <c r="W26" s="35" t="s">
        <v>239</v>
      </c>
      <c r="X26" s="39" t="s">
        <v>476</v>
      </c>
    </row>
    <row r="27" spans="1:27" s="40" customFormat="1" ht="20.100000000000001" customHeight="1" x14ac:dyDescent="0.3">
      <c r="A27" s="61" t="b">
        <f>COUNTIF(TF_std!$A$2:$A$25, B27)&gt;0</f>
        <v>1</v>
      </c>
      <c r="B27" s="36" t="s">
        <v>240</v>
      </c>
      <c r="C27" s="37" t="s">
        <v>226</v>
      </c>
      <c r="D27" s="37" t="s">
        <v>241</v>
      </c>
      <c r="E27" s="36" t="s">
        <v>242</v>
      </c>
      <c r="F27" s="37" t="s">
        <v>243</v>
      </c>
      <c r="G27" s="37" t="s">
        <v>244</v>
      </c>
      <c r="H27" s="35" t="s">
        <v>245</v>
      </c>
      <c r="I27" s="35" t="s">
        <v>246</v>
      </c>
      <c r="J27" s="38" t="s">
        <v>23</v>
      </c>
      <c r="K27" s="35" t="s">
        <v>149</v>
      </c>
      <c r="L27" s="35" t="s">
        <v>371</v>
      </c>
      <c r="M27" s="59" t="s">
        <v>413</v>
      </c>
      <c r="N27" s="35" t="s">
        <v>245</v>
      </c>
      <c r="O27" s="35" t="s">
        <v>246</v>
      </c>
      <c r="P27" s="38" t="s">
        <v>23</v>
      </c>
      <c r="Q27" s="35" t="s">
        <v>47</v>
      </c>
      <c r="R27" s="35" t="s">
        <v>48</v>
      </c>
      <c r="S27" s="38" t="s">
        <v>247</v>
      </c>
      <c r="T27" s="38" t="s">
        <v>248</v>
      </c>
      <c r="U27" s="35" t="s">
        <v>249</v>
      </c>
      <c r="V27" s="42" t="s">
        <v>413</v>
      </c>
      <c r="W27" s="35" t="s">
        <v>250</v>
      </c>
      <c r="X27" s="39" t="s">
        <v>333</v>
      </c>
    </row>
    <row r="28" spans="1:27" s="40" customFormat="1" ht="20.100000000000001" customHeight="1" x14ac:dyDescent="0.3">
      <c r="A28" s="35" t="b">
        <f>COUNTIF(TF_std!$A$2:$A$25, B28)&gt;0</f>
        <v>1</v>
      </c>
      <c r="B28" s="43" t="s">
        <v>251</v>
      </c>
      <c r="C28" s="44" t="s">
        <v>226</v>
      </c>
      <c r="D28" s="44" t="s">
        <v>252</v>
      </c>
      <c r="E28" s="43" t="s">
        <v>344</v>
      </c>
      <c r="F28" s="44" t="s">
        <v>253</v>
      </c>
      <c r="G28" s="44" t="s">
        <v>254</v>
      </c>
      <c r="H28" s="43" t="s">
        <v>255</v>
      </c>
      <c r="I28" s="43" t="s">
        <v>364</v>
      </c>
      <c r="J28" s="44" t="s">
        <v>23</v>
      </c>
      <c r="K28" s="43" t="s">
        <v>369</v>
      </c>
      <c r="L28" s="43" t="s">
        <v>372</v>
      </c>
      <c r="M28" s="57" t="s">
        <v>415</v>
      </c>
      <c r="N28" s="43" t="s">
        <v>255</v>
      </c>
      <c r="O28" s="43" t="s">
        <v>256</v>
      </c>
      <c r="P28" s="44" t="s">
        <v>35</v>
      </c>
      <c r="Q28" s="43" t="s">
        <v>119</v>
      </c>
      <c r="R28" s="43" t="s">
        <v>120</v>
      </c>
      <c r="S28" s="44" t="s">
        <v>257</v>
      </c>
      <c r="T28" s="44" t="s">
        <v>258</v>
      </c>
      <c r="U28" s="43"/>
      <c r="V28" s="45" t="s">
        <v>415</v>
      </c>
      <c r="W28" s="43" t="s">
        <v>259</v>
      </c>
      <c r="X28" s="46" t="s">
        <v>441</v>
      </c>
    </row>
    <row r="29" spans="1:27" s="40" customFormat="1" ht="20.100000000000001" customHeight="1" x14ac:dyDescent="0.3">
      <c r="A29" s="35" t="b">
        <f>COUNTIF(TF_std!$A$2:$A$25, B29)&gt;0</f>
        <v>0</v>
      </c>
      <c r="B29" s="43" t="s">
        <v>478</v>
      </c>
      <c r="C29" s="44" t="s">
        <v>42</v>
      </c>
      <c r="D29" s="44" t="s">
        <v>260</v>
      </c>
      <c r="E29" s="43" t="s">
        <v>261</v>
      </c>
      <c r="F29" s="44" t="s">
        <v>262</v>
      </c>
      <c r="G29" s="44" t="s">
        <v>263</v>
      </c>
      <c r="H29" s="43"/>
      <c r="I29" s="43"/>
      <c r="J29" s="43"/>
      <c r="K29" s="43"/>
      <c r="L29" s="43"/>
      <c r="M29" s="43"/>
      <c r="N29" s="43" t="s">
        <v>264</v>
      </c>
      <c r="O29" s="43" t="s">
        <v>261</v>
      </c>
      <c r="P29" s="44" t="s">
        <v>35</v>
      </c>
      <c r="Q29" s="43" t="s">
        <v>36</v>
      </c>
      <c r="R29" s="43" t="s">
        <v>37</v>
      </c>
      <c r="S29" s="44" t="s">
        <v>265</v>
      </c>
      <c r="T29" s="44" t="s">
        <v>266</v>
      </c>
      <c r="U29" s="43"/>
      <c r="V29" s="45" t="s">
        <v>435</v>
      </c>
      <c r="W29" s="43" t="s">
        <v>267</v>
      </c>
      <c r="X29" s="46" t="s">
        <v>477</v>
      </c>
    </row>
    <row r="30" spans="1:27" s="40" customFormat="1" ht="20.100000000000001" customHeight="1" x14ac:dyDescent="0.3">
      <c r="A30" s="35" t="b">
        <f>COUNTIF(TF_std!$A$2:$A$25, B30)&gt;0</f>
        <v>0</v>
      </c>
      <c r="B30" s="43" t="s">
        <v>268</v>
      </c>
      <c r="C30" s="44" t="s">
        <v>42</v>
      </c>
      <c r="D30" s="44" t="s">
        <v>82</v>
      </c>
      <c r="E30" s="43" t="s">
        <v>345</v>
      </c>
      <c r="F30" s="44" t="s">
        <v>269</v>
      </c>
      <c r="G30" s="44" t="s">
        <v>270</v>
      </c>
      <c r="H30" s="43"/>
      <c r="I30" s="43"/>
      <c r="J30" s="43"/>
      <c r="K30" s="43"/>
      <c r="L30" s="43"/>
      <c r="M30" s="43"/>
      <c r="N30" s="43" t="s">
        <v>271</v>
      </c>
      <c r="O30" s="43" t="s">
        <v>272</v>
      </c>
      <c r="P30" s="44" t="s">
        <v>35</v>
      </c>
      <c r="Q30" s="43" t="s">
        <v>36</v>
      </c>
      <c r="R30" s="43" t="s">
        <v>60</v>
      </c>
      <c r="S30" s="44" t="s">
        <v>273</v>
      </c>
      <c r="T30" s="44" t="s">
        <v>274</v>
      </c>
      <c r="U30" s="43"/>
      <c r="V30" s="52" t="s">
        <v>470</v>
      </c>
      <c r="W30" s="35" t="s">
        <v>275</v>
      </c>
      <c r="X30" s="46" t="s">
        <v>477</v>
      </c>
    </row>
    <row r="31" spans="1:27" s="40" customFormat="1" ht="20.100000000000001" customHeight="1" x14ac:dyDescent="0.3">
      <c r="A31" s="35" t="b">
        <f>COUNTIF(TF_std!$A$2:$A$25, B31)&gt;0</f>
        <v>1</v>
      </c>
      <c r="B31" s="48" t="s">
        <v>346</v>
      </c>
      <c r="C31" s="49" t="s">
        <v>42</v>
      </c>
      <c r="D31" s="49" t="s">
        <v>276</v>
      </c>
      <c r="E31" s="48" t="s">
        <v>347</v>
      </c>
      <c r="F31" s="49" t="s">
        <v>277</v>
      </c>
      <c r="G31" s="49" t="s">
        <v>278</v>
      </c>
      <c r="H31" s="48" t="s">
        <v>348</v>
      </c>
      <c r="I31" s="48" t="s">
        <v>279</v>
      </c>
      <c r="J31" s="49" t="s">
        <v>35</v>
      </c>
      <c r="K31" s="48" t="s">
        <v>36</v>
      </c>
      <c r="L31" s="48" t="s">
        <v>283</v>
      </c>
      <c r="M31" s="62" t="s">
        <v>417</v>
      </c>
      <c r="N31" s="48" t="s">
        <v>348</v>
      </c>
      <c r="O31" s="48" t="s">
        <v>279</v>
      </c>
      <c r="P31" s="49" t="s">
        <v>35</v>
      </c>
      <c r="Q31" s="48" t="s">
        <v>499</v>
      </c>
      <c r="R31" s="48" t="s">
        <v>500</v>
      </c>
      <c r="S31" s="49" t="s">
        <v>280</v>
      </c>
      <c r="T31" s="49" t="s">
        <v>281</v>
      </c>
      <c r="U31" s="48"/>
      <c r="V31" s="53" t="s">
        <v>471</v>
      </c>
      <c r="W31" s="48" t="s">
        <v>282</v>
      </c>
      <c r="X31" s="51" t="s">
        <v>480</v>
      </c>
    </row>
    <row r="32" spans="1:27" s="40" customFormat="1" ht="20.100000000000001" customHeight="1" x14ac:dyDescent="0.3">
      <c r="A32" s="35" t="b">
        <f>COUNTIF(TF_std!$A$2:$A$25, B32)&gt;0</f>
        <v>1</v>
      </c>
      <c r="B32" s="43" t="s">
        <v>349</v>
      </c>
      <c r="C32" s="44" t="s">
        <v>42</v>
      </c>
      <c r="D32" s="44" t="s">
        <v>43</v>
      </c>
      <c r="E32" s="43" t="s">
        <v>502</v>
      </c>
      <c r="F32" s="44"/>
      <c r="G32" s="44"/>
      <c r="H32" s="43" t="s">
        <v>350</v>
      </c>
      <c r="I32" s="43" t="s">
        <v>351</v>
      </c>
      <c r="J32" s="44" t="s">
        <v>35</v>
      </c>
      <c r="K32" s="43" t="s">
        <v>36</v>
      </c>
      <c r="L32" s="43" t="s">
        <v>283</v>
      </c>
      <c r="M32" s="69" t="s">
        <v>419</v>
      </c>
      <c r="N32" s="43" t="s">
        <v>350</v>
      </c>
      <c r="O32" s="43" t="s">
        <v>351</v>
      </c>
      <c r="P32" s="44" t="s">
        <v>35</v>
      </c>
      <c r="Q32" s="43" t="s">
        <v>36</v>
      </c>
      <c r="R32" s="43" t="s">
        <v>283</v>
      </c>
      <c r="S32" s="44" t="s">
        <v>284</v>
      </c>
      <c r="T32" s="44" t="s">
        <v>285</v>
      </c>
      <c r="U32" s="43"/>
      <c r="V32" s="52" t="s">
        <v>472</v>
      </c>
      <c r="W32" s="43" t="s">
        <v>352</v>
      </c>
      <c r="X32" s="46" t="s">
        <v>503</v>
      </c>
    </row>
    <row r="33" spans="1:24" s="40" customFormat="1" ht="20.100000000000001" customHeight="1" x14ac:dyDescent="0.3">
      <c r="A33" s="35" t="b">
        <f>COUNTIF(TF_std!$A$2:$A$25, B33)&gt;0</f>
        <v>1</v>
      </c>
      <c r="B33" s="36" t="s">
        <v>286</v>
      </c>
      <c r="C33" s="37" t="s">
        <v>17</v>
      </c>
      <c r="D33" s="37" t="s">
        <v>287</v>
      </c>
      <c r="E33" s="36" t="s">
        <v>288</v>
      </c>
      <c r="F33" s="37"/>
      <c r="G33" s="37"/>
      <c r="H33" s="35" t="s">
        <v>289</v>
      </c>
      <c r="I33" s="35" t="s">
        <v>290</v>
      </c>
      <c r="J33" s="38" t="s">
        <v>23</v>
      </c>
      <c r="K33" s="35" t="s">
        <v>149</v>
      </c>
      <c r="L33" s="35" t="s">
        <v>291</v>
      </c>
      <c r="M33" s="60" t="s">
        <v>295</v>
      </c>
      <c r="N33" s="35" t="s">
        <v>289</v>
      </c>
      <c r="O33" s="35" t="s">
        <v>290</v>
      </c>
      <c r="P33" s="38" t="s">
        <v>23</v>
      </c>
      <c r="Q33" s="35" t="s">
        <v>149</v>
      </c>
      <c r="R33" s="35" t="s">
        <v>291</v>
      </c>
      <c r="S33" s="38" t="s">
        <v>292</v>
      </c>
      <c r="T33" s="38" t="s">
        <v>293</v>
      </c>
      <c r="U33" s="35" t="s">
        <v>294</v>
      </c>
      <c r="V33" s="42" t="s">
        <v>436</v>
      </c>
      <c r="W33" s="35" t="s">
        <v>296</v>
      </c>
      <c r="X33" s="39" t="s">
        <v>333</v>
      </c>
    </row>
    <row r="34" spans="1:24" s="40" customFormat="1" ht="20.100000000000001" customHeight="1" x14ac:dyDescent="0.3">
      <c r="A34" s="35" t="b">
        <f>COUNTIF(TF_std!$A$2:$A$25, B34)&gt;0</f>
        <v>1</v>
      </c>
      <c r="B34" s="36" t="s">
        <v>297</v>
      </c>
      <c r="C34" s="37" t="s">
        <v>17</v>
      </c>
      <c r="D34" s="37" t="s">
        <v>298</v>
      </c>
      <c r="E34" s="36" t="s">
        <v>299</v>
      </c>
      <c r="F34" s="37"/>
      <c r="G34" s="37"/>
      <c r="H34" s="35" t="s">
        <v>300</v>
      </c>
      <c r="I34" s="35"/>
      <c r="J34" s="38" t="s">
        <v>301</v>
      </c>
      <c r="K34" s="35" t="s">
        <v>302</v>
      </c>
      <c r="L34" s="35" t="s">
        <v>303</v>
      </c>
      <c r="M34" s="59" t="s">
        <v>420</v>
      </c>
      <c r="N34" s="35" t="s">
        <v>300</v>
      </c>
      <c r="O34" s="35"/>
      <c r="P34" s="38" t="s">
        <v>301</v>
      </c>
      <c r="Q34" s="35" t="s">
        <v>302</v>
      </c>
      <c r="R34" s="35" t="s">
        <v>303</v>
      </c>
      <c r="S34" s="38"/>
      <c r="T34" s="38"/>
      <c r="U34" s="35"/>
      <c r="V34" s="42" t="s">
        <v>420</v>
      </c>
      <c r="W34" s="35"/>
      <c r="X34" s="39" t="s">
        <v>333</v>
      </c>
    </row>
    <row r="35" spans="1:24" s="40" customFormat="1" ht="20.100000000000001" customHeight="1" x14ac:dyDescent="0.3">
      <c r="A35" s="35" t="b">
        <f>COUNTIF(TF_std!$A$2:$A$25, B35)&gt;0</f>
        <v>1</v>
      </c>
      <c r="B35" s="43" t="s">
        <v>304</v>
      </c>
      <c r="C35" s="44" t="s">
        <v>42</v>
      </c>
      <c r="D35" s="44" t="s">
        <v>82</v>
      </c>
      <c r="E35" s="43" t="s">
        <v>305</v>
      </c>
      <c r="F35" s="44"/>
      <c r="G35" s="44"/>
      <c r="H35" s="43" t="s">
        <v>306</v>
      </c>
      <c r="I35" s="43" t="s">
        <v>307</v>
      </c>
      <c r="J35" s="44" t="s">
        <v>35</v>
      </c>
      <c r="K35" s="43" t="s">
        <v>36</v>
      </c>
      <c r="L35" s="43" t="s">
        <v>283</v>
      </c>
      <c r="M35" s="57" t="s">
        <v>423</v>
      </c>
      <c r="N35" s="43" t="s">
        <v>306</v>
      </c>
      <c r="O35" s="43" t="s">
        <v>307</v>
      </c>
      <c r="P35" s="44" t="s">
        <v>35</v>
      </c>
      <c r="Q35" s="43" t="s">
        <v>36</v>
      </c>
      <c r="R35" s="43" t="s">
        <v>283</v>
      </c>
      <c r="S35" s="44" t="s">
        <v>308</v>
      </c>
      <c r="T35" s="44" t="s">
        <v>309</v>
      </c>
      <c r="U35" s="43"/>
      <c r="V35" s="52" t="s">
        <v>473</v>
      </c>
      <c r="W35" s="35" t="s">
        <v>310</v>
      </c>
      <c r="X35" s="46" t="s">
        <v>477</v>
      </c>
    </row>
    <row r="36" spans="1:24" s="40" customFormat="1" ht="20.100000000000001" customHeight="1" x14ac:dyDescent="0.3">
      <c r="A36" s="35" t="b">
        <f>COUNTIF(TF_std!$A$2:$A$25, B36)&gt;0</f>
        <v>1</v>
      </c>
      <c r="B36" s="43" t="s">
        <v>311</v>
      </c>
      <c r="C36" s="44" t="s">
        <v>42</v>
      </c>
      <c r="D36" s="44" t="s">
        <v>43</v>
      </c>
      <c r="E36" s="43" t="s">
        <v>353</v>
      </c>
      <c r="F36" s="44"/>
      <c r="G36" s="44"/>
      <c r="H36" s="43" t="s">
        <v>312</v>
      </c>
      <c r="I36" s="43" t="s">
        <v>313</v>
      </c>
      <c r="J36" s="44" t="s">
        <v>35</v>
      </c>
      <c r="K36" s="43" t="s">
        <v>36</v>
      </c>
      <c r="L36" s="43" t="s">
        <v>283</v>
      </c>
      <c r="M36" s="57" t="s">
        <v>425</v>
      </c>
      <c r="N36" s="43" t="s">
        <v>312</v>
      </c>
      <c r="O36" s="43" t="s">
        <v>313</v>
      </c>
      <c r="P36" s="44" t="s">
        <v>35</v>
      </c>
      <c r="Q36" s="43" t="s">
        <v>36</v>
      </c>
      <c r="R36" s="43" t="s">
        <v>283</v>
      </c>
      <c r="S36" s="44" t="s">
        <v>314</v>
      </c>
      <c r="T36" s="44" t="s">
        <v>315</v>
      </c>
      <c r="U36" s="43"/>
      <c r="V36" s="52" t="s">
        <v>474</v>
      </c>
      <c r="W36" s="35" t="s">
        <v>316</v>
      </c>
      <c r="X36" s="46" t="s">
        <v>477</v>
      </c>
    </row>
    <row r="37" spans="1:24" s="40" customFormat="1" ht="20.100000000000001" customHeight="1" x14ac:dyDescent="0.3">
      <c r="A37" s="35" t="b">
        <f>COUNTIF(TF_std!$A$2:$A$25, B37)&gt;0</f>
        <v>1</v>
      </c>
      <c r="B37" s="36" t="s">
        <v>286</v>
      </c>
      <c r="C37" s="37" t="s">
        <v>17</v>
      </c>
      <c r="D37" s="37" t="s">
        <v>287</v>
      </c>
      <c r="E37" s="36" t="s">
        <v>288</v>
      </c>
      <c r="F37" s="37"/>
      <c r="G37" s="37"/>
      <c r="H37" s="35" t="s">
        <v>289</v>
      </c>
      <c r="I37" s="35" t="s">
        <v>290</v>
      </c>
      <c r="J37" s="38" t="s">
        <v>23</v>
      </c>
      <c r="K37" s="35" t="s">
        <v>149</v>
      </c>
      <c r="L37" s="35" t="s">
        <v>291</v>
      </c>
      <c r="M37" s="60" t="s">
        <v>295</v>
      </c>
      <c r="N37" s="35" t="s">
        <v>289</v>
      </c>
      <c r="O37" s="35" t="s">
        <v>290</v>
      </c>
      <c r="P37" s="38" t="s">
        <v>23</v>
      </c>
      <c r="Q37" s="35" t="s">
        <v>149</v>
      </c>
      <c r="R37" s="35" t="s">
        <v>291</v>
      </c>
      <c r="S37" s="38" t="s">
        <v>292</v>
      </c>
      <c r="T37" s="38" t="s">
        <v>293</v>
      </c>
      <c r="U37" s="35" t="s">
        <v>294</v>
      </c>
      <c r="V37" s="42" t="s">
        <v>436</v>
      </c>
      <c r="W37" s="35" t="s">
        <v>296</v>
      </c>
      <c r="X37" s="39" t="s">
        <v>333</v>
      </c>
    </row>
    <row r="38" spans="1:24" s="40" customFormat="1" ht="20.100000000000001" customHeight="1" x14ac:dyDescent="0.3">
      <c r="A38" s="35" t="b">
        <f>COUNTIF(TF_std!$A$2:$A$25, B38)&gt;0</f>
        <v>1</v>
      </c>
      <c r="B38" s="36" t="s">
        <v>317</v>
      </c>
      <c r="C38" s="37" t="s">
        <v>17</v>
      </c>
      <c r="D38" s="37" t="s">
        <v>318</v>
      </c>
      <c r="E38" s="36" t="s">
        <v>319</v>
      </c>
      <c r="F38" s="37"/>
      <c r="G38" s="37"/>
      <c r="H38" s="35" t="s">
        <v>320</v>
      </c>
      <c r="I38" s="35" t="s">
        <v>321</v>
      </c>
      <c r="J38" s="38" t="s">
        <v>23</v>
      </c>
      <c r="K38" s="35" t="s">
        <v>24</v>
      </c>
      <c r="L38" s="35" t="s">
        <v>322</v>
      </c>
      <c r="M38" s="59" t="s">
        <v>426</v>
      </c>
      <c r="N38" s="35" t="s">
        <v>320</v>
      </c>
      <c r="O38" s="35" t="s">
        <v>321</v>
      </c>
      <c r="P38" s="38" t="s">
        <v>23</v>
      </c>
      <c r="Q38" s="35" t="s">
        <v>24</v>
      </c>
      <c r="R38" s="35" t="s">
        <v>322</v>
      </c>
      <c r="S38" s="38" t="s">
        <v>323</v>
      </c>
      <c r="T38" s="38" t="s">
        <v>324</v>
      </c>
      <c r="U38" s="35" t="s">
        <v>325</v>
      </c>
      <c r="V38" s="42" t="s">
        <v>426</v>
      </c>
      <c r="W38" s="35" t="s">
        <v>326</v>
      </c>
      <c r="X38" s="39" t="s">
        <v>333</v>
      </c>
    </row>
    <row r="39" spans="1:24" s="40" customFormat="1" ht="20.100000000000001" customHeight="1" x14ac:dyDescent="0.3">
      <c r="A39" s="35" t="b">
        <f>COUNTIF(TF_std!$A$2:$A$25, B39)&gt;0</f>
        <v>1</v>
      </c>
      <c r="B39" s="36" t="s">
        <v>354</v>
      </c>
      <c r="C39" s="37" t="s">
        <v>42</v>
      </c>
      <c r="D39" s="37" t="s">
        <v>43</v>
      </c>
      <c r="E39" s="36" t="s">
        <v>355</v>
      </c>
      <c r="F39" s="37"/>
      <c r="G39" s="37"/>
      <c r="H39" s="35" t="s">
        <v>356</v>
      </c>
      <c r="I39" s="35" t="s">
        <v>327</v>
      </c>
      <c r="J39" s="38" t="s">
        <v>23</v>
      </c>
      <c r="K39" s="35" t="s">
        <v>24</v>
      </c>
      <c r="L39" s="35" t="s">
        <v>322</v>
      </c>
      <c r="M39" s="59" t="s">
        <v>428</v>
      </c>
      <c r="N39" s="35" t="s">
        <v>356</v>
      </c>
      <c r="O39" s="35" t="s">
        <v>327</v>
      </c>
      <c r="P39" s="38" t="s">
        <v>23</v>
      </c>
      <c r="Q39" s="35" t="s">
        <v>24</v>
      </c>
      <c r="R39" s="35" t="s">
        <v>322</v>
      </c>
      <c r="S39" s="38" t="s">
        <v>328</v>
      </c>
      <c r="T39" s="38" t="s">
        <v>329</v>
      </c>
      <c r="U39" s="35" t="s">
        <v>330</v>
      </c>
      <c r="V39" s="42" t="s">
        <v>428</v>
      </c>
      <c r="W39" s="35" t="s">
        <v>331</v>
      </c>
      <c r="X39" s="39" t="s">
        <v>333</v>
      </c>
    </row>
  </sheetData>
  <autoFilter ref="A1:X39" xr:uid="{00000000-0001-0000-0000-000000000000}"/>
  <phoneticPr fontId="1" type="noConversion"/>
  <hyperlinks>
    <hyperlink ref="M4" r:id="rId1" xr:uid="{A886DC43-4661-42E0-917F-D8276C802F95}"/>
    <hyperlink ref="M9" r:id="rId2" xr:uid="{204D38E4-FB95-41E0-80C7-BFA5EB47ECD4}"/>
    <hyperlink ref="M10" r:id="rId3" xr:uid="{5AA6C3DB-A29A-4ACE-B585-E24928B6535E}"/>
    <hyperlink ref="M13" r:id="rId4" xr:uid="{9E0E6C4F-A92D-4B52-B676-96BA690B54E1}"/>
    <hyperlink ref="M14" r:id="rId5" xr:uid="{7FF9E404-07BF-465C-9191-E1122A80B0C3}"/>
    <hyperlink ref="M18" r:id="rId6" xr:uid="{C19ADA25-31AE-4A1C-B5FF-3502DED58AD9}"/>
    <hyperlink ref="M19" r:id="rId7" xr:uid="{58A7A28C-EDBC-4D3C-8652-68BF98EA58B6}"/>
    <hyperlink ref="M20" r:id="rId8" xr:uid="{27381D93-220D-4067-8C2C-BEC50E721C46}"/>
    <hyperlink ref="M21" r:id="rId9" xr:uid="{A77F3020-352E-49A2-B6F2-12C5A1CAE0C5}"/>
    <hyperlink ref="M22" r:id="rId10" xr:uid="{5A9F281C-BAB0-4A6B-B0EF-6FB60F62DEF1}"/>
    <hyperlink ref="M23" r:id="rId11" xr:uid="{6C241B59-EFE9-4D8D-8CB2-D60BD4E70BAA}"/>
    <hyperlink ref="M24" r:id="rId12" xr:uid="{9D6B397E-1E67-43BC-BB59-ACC7714F33DC}"/>
    <hyperlink ref="M26" r:id="rId13" xr:uid="{C43C1093-4C35-409A-8A0F-73DAC6F908D6}"/>
    <hyperlink ref="M27" r:id="rId14" xr:uid="{FBA84E61-9D3E-40D5-AF54-76BDFE122E72}"/>
    <hyperlink ref="M28" r:id="rId15" xr:uid="{D4976AB0-CE6A-4127-996F-B5EAD5EA0F63}"/>
    <hyperlink ref="M35" r:id="rId16" xr:uid="{D5E78D42-D92B-4ED3-A3EC-E38882AAE8AB}"/>
    <hyperlink ref="M36" r:id="rId17" xr:uid="{50A358C5-80C9-4872-90C8-02AF65BBE6EB}"/>
    <hyperlink ref="M38" r:id="rId18" xr:uid="{0DC054C6-B96F-469F-A8E3-D8AD377462A4}"/>
    <hyperlink ref="M39" r:id="rId19" xr:uid="{D355FEEC-08D5-4F24-9042-6AB20D3DBA26}"/>
    <hyperlink ref="M34" r:id="rId20" xr:uid="{1730BC05-5733-4AA9-8DFE-B6BEB686B1D5}"/>
    <hyperlink ref="V2" r:id="rId21" xr:uid="{3C6E60DB-FE70-44B9-90C0-80E850F5C204}"/>
    <hyperlink ref="V3" r:id="rId22" display="https://www.google.com/maps/search/?api=1&amp;query=HANA%20TECH%20302-3%20Yangjae-dong%2C%20Seocho%20District%2C%20Seoul%2C%20South%20Korea" xr:uid="{C6F7BFFB-81CD-4B5B-9BE8-5850FD147A81}"/>
    <hyperlink ref="V7" r:id="rId23" xr:uid="{5A51FC39-97A2-4FA0-AF43-C2D97FD74B2A}"/>
    <hyperlink ref="V4" r:id="rId24" xr:uid="{1D5BC92C-1677-49F5-A2DF-02FB5F8027F6}"/>
    <hyperlink ref="V6" r:id="rId25" display="https://www.google.com/maps/search/?api=1&amp;query=Samutsakorn%20%E0%B8%96%E0%B8%99%E0%B8%99%20%E0%B8%A8%E0%B8%A3%E0%B8%B5%E0%B8%AA%E0%B8%B8%E0%B8%A3%E0%B8%B4%E0%B8%89%E0%B8%B1%E0%B8%99%20Tambon%20Khok%20Kham%2C%20Amphoe%20Mueang%20Samut%20Sakhon%2C%20Chang%20Wat%20Samut%20Sakhon%2074000%2C%20Thailand" xr:uid="{B62F5874-5FEA-460F-9215-3A66F472BCBB}"/>
    <hyperlink ref="V8" r:id="rId26" xr:uid="{B0B0AA71-CB7B-4EBE-A7F5-125A2E328F24}"/>
    <hyperlink ref="V9" r:id="rId27" display="https://www.google.com/maps/search/?api=1&amp;query=Honeywell%20Automation%20and%20Control%20Solution%28China%29%20Co.%2CLtd.%20Shanghai%2C%20China" xr:uid="{3A866BD6-ADF2-408F-A64E-0582BAAA4989}"/>
    <hyperlink ref="V10" r:id="rId28" display="https://www.google.com/maps/search/?api=1&amp;query=CINOS%28CX1%2CCX2%29%20China%2C%20Shan%20Xi%20Sheng%2C%20Xi%20An%20Shi%2C%20Ba%20Qiao%20Qu%2C%20%E4%BA%9A%E6%B4%B2%E9%81%9393WG%2BFFR%20%E9%82%AE%E6%94%BF%E7%BC%96%E7%A0%81%3A%20710027" xr:uid="{A76516E4-AADF-49B0-9C1D-2EF63FFAF206}"/>
    <hyperlink ref="V13" r:id="rId29" xr:uid="{98E862D5-DF72-4B07-8441-5E0743648F01}"/>
    <hyperlink ref="V11" r:id="rId30" display="https://www.google.com/maps/search/?api=1&amp;query=%EC%A0%9C%EC%9D%BC%EC%8D%A8%EB%B3%B4%ED%85%8C%ED%81%AC%20255-1%20Dodang-dong%2C%20Bucheon%2C%20Gyeonggi-do%2C%20South%20Korea" xr:uid="{379438DD-7898-42E3-9963-32DAC993F48B}"/>
    <hyperlink ref="V14" r:id="rId31" display="https://www.google.com/maps/search/?api=1&amp;query=Entegris%20Malaysia%20Sdn%20Bhd%20CHV7%2B63%20Lunas%2C%20Kedah%2C%20Malaysia" xr:uid="{AFFBDC35-810E-4A85-8A2B-E6A97AB530DD}"/>
    <hyperlink ref="V15" r:id="rId32" xr:uid="{62D6688E-1A83-49BD-8B6F-EC81DABE0E38}"/>
    <hyperlink ref="V16" r:id="rId33" xr:uid="{915B2DC1-2194-41E9-B4C5-608B756073E0}"/>
    <hyperlink ref="V17" r:id="rId34" xr:uid="{FE0B34D7-4784-438C-9B77-01F656DEBF5B}"/>
    <hyperlink ref="V18" r:id="rId35" xr:uid="{98D839BC-D6AA-49BA-8A26-6B38C3DE5E47}"/>
    <hyperlink ref="V19" r:id="rId36" display="https://www.google.com/maps/search/?api=1&amp;query=CINOS%28C1%29%20299-2%20Gajae-ri%2C%20Paltan-myeon%2C%20Hwaseong-si%2C%20Gyeonggi-do%2C%20South%20Korea" xr:uid="{4B965E00-738F-486D-A095-13AD1A842B31}"/>
    <hyperlink ref="V20" r:id="rId37" display="https://www.google.com/maps/search/?api=1&amp;query=Solstice%20Electronic%20Materials%20-%20Spokane%20Pasadena%2C%20CA%2C%20USA" xr:uid="{E1AA2C8D-EDC3-452D-8C80-F31D4A84ECF8}"/>
    <hyperlink ref="V21" r:id="rId38" display="https://www.google.com/maps/search/?api=1&amp;query=CW%20QUERETARO%20MEXICO%20SA%20DE%20CV%20RHH5%2B52%20Quer%C3%A9taro%2C%20Mexico" xr:uid="{2FC63A09-2A4B-4EE2-9849-88BB292D9B10}"/>
    <hyperlink ref="V22" r:id="rId39" xr:uid="{8CD254ED-C299-4A99-9B56-346148B05CB4}"/>
    <hyperlink ref="V23" r:id="rId40" xr:uid="{C91A91FE-CA5A-42F8-85D3-D946431165BD}"/>
    <hyperlink ref="V24" r:id="rId41" display="https://www.google.com/maps/search/?api=1&amp;query=CINOS%28C2%29%20930-17%20Gumuncheon-ri%2C%20Hyangnam-eup%2C%20Hwaseong-si%2C%20Gyeonggi-do%2C%20South%20Korea" xr:uid="{1FCE9BEC-559A-4A22-8073-CE297E8112B3}"/>
    <hyperlink ref="V25" r:id="rId42" display="https://www.google.com/maps/search/?api=1&amp;query=SJI%20SAIGON%2035%20%C4%90.%20%C4%90%E1%BB%93ng%20Kh%E1%BB%9Fi%2C%20T%C3%A2n%20Tri%E1%BB%81u%2C%20%C4%90%E1%BB%93ng%20Nai%2C%20Vietnam" xr:uid="{79E81615-EF34-4E4C-8F96-547755487D62}"/>
    <hyperlink ref="V26" r:id="rId43" display="https://www.google.com/maps/search/?api=1&amp;query=SJI%20SAIGON%20XR4R%2BPHW%2C%20Tran%20Bien%2C%20Dong%20Nai%20City%2C%20Vietnam" xr:uid="{867F4361-5FBC-4284-AAAA-FE97D77636B9}"/>
    <hyperlink ref="V27" r:id="rId44" xr:uid="{3CBCD590-3DAF-4EBD-BA2C-14F54AC1CCD9}"/>
    <hyperlink ref="V28" r:id="rId45" xr:uid="{C011A45A-C9F1-43B9-8229-E923111F0650}"/>
    <hyperlink ref="V29" r:id="rId46" xr:uid="{808ADF8B-44A3-4493-868E-C2FBD8FAA6F1}"/>
    <hyperlink ref="V30" r:id="rId47" display="https://www.google.com/maps/search/?api=1&amp;query=PSK%28CHINA%29%20CO.%2CLtd.%20Du%20Shi%20Zhi%20Men%20C%20Zuo%2C%20%E5%B0%8F%E5%AF%A8%20Yan%20Ta%20Qu%2C%20Xi%20An%20Shi%2C%20Shan%20Xi%20Sheng%2C%20China%2C%20710065" xr:uid="{3D15D71F-6C88-49E3-A656-591CAB93FC6D}"/>
    <hyperlink ref="V31" r:id="rId48" display="https://www.google.com/maps/search/?api=1&amp;query=%E5%A4%A9%E6%B0%B4%E5%8D%8E%E5%A4%A9%E7%A7%91%E6%8A%80%E8%82%A1%E4%BB%BD%E6%9C%89%E9%99%90%E5%85%AC%E5%8F%B8%20Qin%20Zhou%20Da%20Dao%2C%20Qin%20Zhou%20Qu%2C%20Tian%20Shui%20Shi%2C%20Gan%20Su%20Sheng%2C%20China" xr:uid="{9C2AF9EE-FE8F-4D75-87A1-BFAE8FAF854C}"/>
    <hyperlink ref="V32" r:id="rId49" display="https://www.google.com/maps/search/?api=1&amp;query=%E8%8B%8F%E5%B7%9E%E6%96%B0%E7%89%B9%E5%BC%8F%E5%8D%8A%E5%AF%BC%E4%BD%93%E6%9C%89%E9%99%90%E5%85%AC%E5%8F%B8%20%E4%BA%AD%20%E9%95%87%2C%202%20Chun%20Hui%20Lu%2C%20Wu%20Zhong%20Qu%2C%20Su%20Zhou%20Shi%2C%20Jiang%20Su%20Sheng%2C%20China%2C%20215121" xr:uid="{EA8BBA93-AAFB-4471-8B16-C17AD5A9CD67}"/>
    <hyperlink ref="V33" r:id="rId50" xr:uid="{4BC0A0FE-38C9-4B1D-9364-166475E9D6F6}"/>
    <hyperlink ref="V34" r:id="rId51" xr:uid="{232243F4-145F-4A5C-AC79-5AB4EA72C8FF}"/>
    <hyperlink ref="V35" r:id="rId52" display="https://www.google.com/maps/search/?api=1&amp;query=SHINHAN%20DIAMOND%28XI%27AN%29%20CO.%2CLTD.%204R26%2BH2%20Chang%27An%2C%20Xi%27An%2C%20Shaanxi%2C%20China" xr:uid="{80AF63F0-5F81-4FEE-B8F7-EA68B0406C48}"/>
    <hyperlink ref="V36" r:id="rId53" display="https://www.google.com/maps/search/?api=1&amp;query=SUZHOU%20POSTEL%20CO.%2CLTD%204%20Li%20Da%20Lu%2C%20Wu%20Zhong%20Qu%2C%20Su%20Zhou%20Shi%2C%20Jiang%20Su%20Sheng%2C%20China%2C%20215121" xr:uid="{EFFE5270-F6B0-48BF-BCEC-F457B5BDB2D9}"/>
    <hyperlink ref="V37" r:id="rId54" xr:uid="{2119BACA-4934-4A0A-A0B4-9A347E3A0560}"/>
    <hyperlink ref="V38" r:id="rId55" xr:uid="{2C7C8EBE-BEF2-49B4-8056-BD61DB73561E}"/>
    <hyperlink ref="V39" r:id="rId56" xr:uid="{1D121F41-586E-482F-9B86-41F0C1670A22}"/>
    <hyperlink ref="V5" r:id="rId57" display="https://www.google.com/maps/search/?api=1&amp;query=APO%28INDIUM%20CORPORATION%20OF%20AMERICA%29%20Singapore" xr:uid="{14A72C4C-3B98-41BD-965C-C7943EE7C686}"/>
    <hyperlink ref="V12" r:id="rId58" xr:uid="{737F1F58-2E74-4BEE-95B6-2565DAFE4353}"/>
    <hyperlink ref="M25" r:id="rId59" xr:uid="{291A33DF-6CA6-4E02-A404-E739AE1E9A9C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TF_std</vt:lpstr>
      <vt:lpstr>TF_std_2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Jeong, Seok Jun</cp:lastModifiedBy>
  <dcterms:created xsi:type="dcterms:W3CDTF">2026-09-25T23:38:59Z</dcterms:created>
  <dcterms:modified xsi:type="dcterms:W3CDTF">2026-09-26T03:54:16Z</dcterms:modified>
</cp:coreProperties>
</file>