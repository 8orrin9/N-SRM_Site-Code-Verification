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okjjeong\Desktop\N-SRM_Site-Code-Verification\data\"/>
    </mc:Choice>
  </mc:AlternateContent>
  <xr:revisionPtr revIDLastSave="0" documentId="13_ncr:1_{4696F63E-4846-4BFA-814A-0495E95E129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F_std" sheetId="1" r:id="rId1"/>
  </sheets>
  <definedNames>
    <definedName name="_xlnm._FilterDatabase" localSheetId="0" hidden="1">TF_std!$A$1:$M$1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R4" i="1"/>
  <c r="R3" i="1"/>
  <c r="R2" i="1"/>
</calcChain>
</file>

<file path=xl/sharedStrings.xml><?xml version="1.0" encoding="utf-8"?>
<sst xmlns="http://schemas.openxmlformats.org/spreadsheetml/2006/main" count="381" uniqueCount="233">
  <si>
    <t>업체명 (Eng)</t>
  </si>
  <si>
    <t>국가/지역</t>
  </si>
  <si>
    <t>행정구역</t>
  </si>
  <si>
    <t>주소</t>
  </si>
  <si>
    <t>STD 업체명</t>
  </si>
  <si>
    <t>STD 주소</t>
  </si>
  <si>
    <t>표준화</t>
  </si>
  <si>
    <t>분류 코드</t>
  </si>
  <si>
    <t>비고</t>
  </si>
  <si>
    <t>표준 위도</t>
  </si>
  <si>
    <t>표준 경도</t>
  </si>
  <si>
    <t>place_id</t>
  </si>
  <si>
    <t>참조 URL</t>
  </si>
  <si>
    <t>addressComponents</t>
  </si>
  <si>
    <t>CN:중국</t>
  </si>
  <si>
    <t>100:Jiangsu</t>
  </si>
  <si>
    <t>Suzhou Kematek</t>
  </si>
  <si>
    <t>검증 완료</t>
  </si>
  <si>
    <t>VERIFIED_GEOCODE_DIRECT</t>
  </si>
  <si>
    <t>지오코딩 성공, 표준좌표 기준 TextSearch 매칭(G 도시레벨→TS 좌표 채택)</t>
  </si>
  <si>
    <t>31.362200</t>
  </si>
  <si>
    <t>120.415390</t>
  </si>
  <si>
    <t>ChIJmegxpsmdszURxrpKRCsOcA8</t>
  </si>
  <si>
    <t>020:Shanghai</t>
  </si>
  <si>
    <t>Honeywell Automation and Control Solution(China)</t>
  </si>
  <si>
    <t>Shanghai, China</t>
  </si>
  <si>
    <t>확인 필요</t>
  </si>
  <si>
    <t>UNVERIFIED_NOT_FOUND</t>
  </si>
  <si>
    <t>지오코딩은 성공했으나 TextSearch(좌표·주소텍스트)에서 업체 미발견</t>
  </si>
  <si>
    <t>31.230416</t>
  </si>
  <si>
    <t>121.473701</t>
  </si>
  <si>
    <t>[{"types": ["locality", "political"], "long_text": "Shanghai", "short_text": "Shanghai", "language_code": null, "source_api": "geocoding"}, {"types": ["administrative_area_level_1", "political"], "long_text": "Shanghai", "short_text": "Shanghai", "language_code": null, "source_api": "geocoding"}, {"types": ["country", "political"], "long_text": "China", "short_text": "CN", "language_code": null, "source_api": "geocoding"}]</t>
  </si>
  <si>
    <t>CINOS(CX1,CX2)</t>
  </si>
  <si>
    <t>250:Shaanxi</t>
  </si>
  <si>
    <t>34.396238</t>
  </si>
  <si>
    <t>109.076148</t>
  </si>
  <si>
    <t>Air Liquide Electronics US LP</t>
  </si>
  <si>
    <t>US:미합중국</t>
  </si>
  <si>
    <t>US_99</t>
  </si>
  <si>
    <t>9811 Katy Fwy #100, Houston, TX 77024, USA</t>
  </si>
  <si>
    <t>29.782451</t>
  </si>
  <si>
    <t>-95.536400</t>
  </si>
  <si>
    <t>ChIJsTtJC6y4QIYRSI2XSZdeW3Q</t>
  </si>
  <si>
    <t>[{"types": ["subpremise"], "long_text": "100", "short_text": "100", "language_code": "en", "source_api": "places_new"}, {"types": ["street_number"], "long_text": "9811", "short_text": "9811", "language_code": "en-US", "source_api": "places_new"}, {"types": ["route"], "long_text": "Katy Freeway", "short_text": "Katy Fwy", "language_code": "en", "source_api": "places_new"}, {"types": ["neighborhood", "political"], "long_text": "Memorial City", "short_text": "Memorial City", "language_code": "en", "source_api": "places_new"}, {"types": ["locality", "political"], "long_text": "Houston", "short_text": "Houston", "language_code": "en", "source_api": "places_new"}, {"types": ["administrative_area_level_2", "political"], "long_text": "Harris County", "short_text": "Harris County", "language_code": "en", "source_api": "places_new"}, {"types": ["administrative_area_level_1", "political"], "long_text": "Texas", "short_text": "TX", "language_code": "en", "source_api": "places_new"}, {"types": ["country", "political"], "long_text": "United States", "short_text": "US", "language_code": "en", "source_api": "places_new"}, {"types": ["postal_code"], "long_text": "77024", "short_text": "77024", "language_code": "en-US", "source_api": "places_new"}]</t>
  </si>
  <si>
    <t>CINOS(C4)</t>
  </si>
  <si>
    <t>KR:한국</t>
  </si>
  <si>
    <t>09:Gyeonggi-do</t>
  </si>
  <si>
    <t>대한민국 경기도 화성시 향남읍 구문천리 929-2</t>
  </si>
  <si>
    <t>929-2 Gumuncheon-ri, Hyangnam-eup, Hwaseong-si, Gyeonggi-do, South Korea</t>
  </si>
  <si>
    <t>VERIFIED_GEOCODE_PROXIMITY</t>
  </si>
  <si>
    <t>지오코딩 성공, 표준좌표 기준 TextSearch 매칭(정밀좌표 근접 POI 수용: 업체명 표기 상이)</t>
  </si>
  <si>
    <t>37.085472</t>
  </si>
  <si>
    <t>126.900052</t>
  </si>
  <si>
    <t>ChIJ83c4KwAXezURJ2oNR5ylGaY</t>
  </si>
  <si>
    <t>[{"types": ["sublocality_level_3", "sublocality", "political"], "long_text": "Gumuncheon-ri", "short_text": "Gumuncheon-ri", "language_code": "en", "source_api": "places_new"}, {"types": ["sublocality_level_2", "sublocality", "political"], "long_text": "Hyangnam-eup", "short_text": "Hyangnam-eup", "language_code": "en", "source_api": "places_new"}, {"types": ["locality", "political"], "long_text": "Hwaseong-si", "short_text": "Hwaseong-si", "language_code": "en", "source_api": "places_new"}, {"types": ["country", "political"], "long_text": "South Korea", "short_text": "KR", "language_code": "en", "source_api": "places_new"}, {"types": ["postal_code"], "long_text": "18623", "short_text": "18623", "language_code": "en-US", "source_api": "places_new"}]</t>
  </si>
  <si>
    <t>CINOS(C1)</t>
  </si>
  <si>
    <t>대한민국 경기도 화성시 팔탄면 가재리 299-2</t>
  </si>
  <si>
    <t>299-2 Gajae-ri, Paltan-myeon, Hwaseong-si, Gyeonggi-do, South Korea</t>
  </si>
  <si>
    <t>37.157271</t>
  </si>
  <si>
    <t>126.926767</t>
  </si>
  <si>
    <t>[{"types": ["premise"], "long_text": "299-2", "short_text": "299-2", "language_code": null, "source_api": "geocoding"}, {"types": ["political", "sublocality", "sublocality_level_3"], "long_text": "Gajae-ri", "short_text": "Gajae-ri", "language_code": null, "source_api": "geocoding"}, {"types": ["political", "sublocality", "sublocality_level_2"], "long_text": "Paltan-myeon", "short_text": "Paltan-myeon", "language_code": null, "source_api": "geocoding"}, {"types": ["locality", "political"], "long_text": "Hwaseong-si", "short_text": "Hwaseong-si", "language_code": null, "source_api": "geocoding"}, {"types": ["administrative_area_level_1", "political"], "long_text": "Gyeonggi-do", "short_text": "Gyeonggi-do", "language_code": null, "source_api": "geocoding"}, {"types": ["country", "political"], "long_text": "South Korea", "short_text": "KR", "language_code": null, "source_api": "geocoding"}, {"types": ["postal_code"], "long_text": "18533", "short_text": "18533", "language_code": null, "source_api": "geocoding"}]</t>
  </si>
  <si>
    <t>Solstice Electronic Materials - Spokane</t>
  </si>
  <si>
    <t>US_WA</t>
  </si>
  <si>
    <t>34.147653</t>
  </si>
  <si>
    <t>-118.144302</t>
  </si>
  <si>
    <t>[{"types": ["locality", "political"], "long_text": "Pasadena", "short_text": "Pasadena", "language_code": null, "source_api": "geocoding"}, {"types": ["administrative_area_level_2", "political"], "long_text": "Los Angeles County", "short_text": "Los Angeles County", "language_code": null, "source_api": "geocoding"}, {"types": ["administrative_area_level_1", "political"], "long_text": "California", "short_text": "CA", "language_code": null, "source_api": "geocoding"}, {"types": ["country", "political"], "long_text": "United States", "short_text": "US", "language_code": null, "source_api": "geocoding"}]</t>
  </si>
  <si>
    <t>CW QUERETARO MEXICO SA DE CV</t>
  </si>
  <si>
    <t>MX:멕시코</t>
  </si>
  <si>
    <t>MX_QRO</t>
  </si>
  <si>
    <t>RHH5+52, El Puerto, Querétaro, Mexico, 76215</t>
  </si>
  <si>
    <t>RHH5+52 Querétaro, Mexico</t>
  </si>
  <si>
    <t>20.827938</t>
  </si>
  <si>
    <t>-100.442437</t>
  </si>
  <si>
    <t>[{"types": ["plus_code"], "long_text": "RHH5+52", "short_text": "RHH5+52", "language_code": null, "source_api": "geocoding"}, {"types": ["administrative_area_level_1", "political"], "long_text": "Querétaro", "short_text": "Qro.", "language_code": null, "source_api": "geocoding"}, {"types": ["country", "political"], "long_text": "Mexico", "short_text": "MX", "language_code": null, "source_api": "geocoding"}, {"types": ["postal_code"], "long_text": "76215", "short_text": "76215", "language_code": null, "source_api": "geocoding"}]</t>
  </si>
  <si>
    <t>Entegris Malaysia Sdn Bhd</t>
  </si>
  <si>
    <t>MY:말레이시아</t>
  </si>
  <si>
    <t>KED:Kedah</t>
  </si>
  <si>
    <t>Perdana Highway, Kampung Sungai Seluang, Lunas, Kedah, Malaysia, 09600</t>
  </si>
  <si>
    <t>Lot 17, Fasa 1 Kulim Hi-Tech Park, Kedah, Taman Kulim Hi-tech, 09000 Kulim, Kedah, Malaysia</t>
  </si>
  <si>
    <t>VERIFIED_TEXTSEARCH_ADDR_TEXT</t>
  </si>
  <si>
    <t>표준좌표 TextSearch 미매칭, 업체명+주소텍스트 TextSearch로 매칭(레벨 L1)</t>
  </si>
  <si>
    <t>ChIJq6qqqubMSjAR7P43RFFhmpU</t>
  </si>
  <si>
    <t>[{"types": [], "long_text": "Lot 17, Fasa 1 Kulim Hi-Tech Park, Kedah", "short_text": "", "language_code": "en", "source_api": "places_new"}, {"types": ["sublocality_level_1", "sublocality", "political"], "long_text": "Taman Kulim Hi-tech", "short_text": "Taman Kulim Hi-tech", "language_code": "en", "source_api": "places_new"}, {"types": ["locality", "political"], "long_text": "Kulim", "short_text": "Kulim", "language_code": "en", "source_api": "places_new"}, {"types": ["administrative_area_level_1", "political"], "long_text": "Kedah", "short_text": "Kedah", "language_code": "en", "source_api": "places_new"}, {"types": ["country", "political"], "long_text": "Malaysia", "short_text": "MY", "language_code": "en", "source_api": "places_new"}, {"types": ["postal_code"], "long_text": "09000", "short_text": "09000", "language_code": "en-US", "source_api": "places_new"}]</t>
  </si>
  <si>
    <t>SUZHOU NOBORT ELECTRONICS EQUIPMENT LIMITED COMPANY</t>
  </si>
  <si>
    <t>99:China (General)</t>
  </si>
  <si>
    <t>34 Jin Hai Lu, Wu Zhong Qu, Su Zhou Shi, Jiang Su Sheng, China, 215000</t>
  </si>
  <si>
    <t>표준좌표 TextSearch 미매칭, 업체명+주소텍스트 TextSearch로 매칭(레벨 L3)</t>
  </si>
  <si>
    <t>ChIJ99jhXa2pszURVhN82bFMSDI</t>
  </si>
  <si>
    <t>[{"types": ["street_number"], "long_text": "34", "short_text": "34", "language_code": "en-US", "source_api": "places_new"}, {"types": ["route"], "long_text": "Jin Hai Lu", "short_text": "Jin Hai Lu", "language_code": "zh-Latn", "source_api": "places_new"}, {"types": ["sublocality_level_1", "sublocality", "political"], "long_text": "Wu Zhong Qu", "short_text": "Wu Zhong Qu", "language_code": "zh-Latn", "source_api": "places_new"}, {"types": ["locality", "political"], "long_text": "Su Zhou Shi", "short_text": "Su Zhou Shi", "language_code": "zh-Latn", "source_api": "places_new"}, {"types": ["administrative_area_level_1", "political"], "long_text": "Jiang Su Sheng", "short_text": "Jiang Su Sheng", "language_code": "zh-Latn", "source_api": "places_new"}, {"types": ["country", "political"], "long_text": "China", "short_text": "CN", "language_code": "en", "source_api": "places_new"}, {"types": ["postal_code"], "long_text": "215000", "short_text": "215000", "language_code": "en-US", "source_api": "places_new"}]</t>
  </si>
  <si>
    <t>CINOS(C2)</t>
  </si>
  <si>
    <t>대한민국 경기도 화성시 향남읍 구문천리 930-17</t>
  </si>
  <si>
    <t>930-17 Gumuncheon-ri, Hyangnam-eup, Hwaseong-si, Gyeonggi-do, South Korea</t>
  </si>
  <si>
    <t>37.085127</t>
  </si>
  <si>
    <t>126.896852</t>
  </si>
  <si>
    <t>[{"types": ["premise"], "long_text": "930-17", "short_text": "930-17", "language_code": null, "source_api": "geocoding"}, {"types": ["political", "sublocality", "sublocality_level_3"], "long_text": "Gumuncheon-ri", "short_text": "Gumuncheon-ri", "language_code": null, "source_api": "geocoding"}, {"types": ["political", "sublocality", "sublocality_level_2"], "long_text": "Hyangnam-eup", "short_text": "Hyangnam-eup", "language_code": null, "source_api": "geocoding"}, {"types": ["locality", "political"], "long_text": "Hwaseong-si", "short_text": "Hwaseong-si", "language_code": null, "source_api": "geocoding"}, {"types": ["administrative_area_level_1", "political"], "long_text": "Gyeonggi-do", "short_text": "Gyeonggi-do", "language_code": null, "source_api": "geocoding"}, {"types": ["country", "political"], "long_text": "South Korea", "short_text": "KR", "language_code": null, "source_api": "geocoding"}, {"types": ["postal_code"], "long_text": "18623", "short_text": "18623", "language_code": null, "source_api": "geocoding"}]</t>
  </si>
  <si>
    <t>SJI SAIGON</t>
  </si>
  <si>
    <t>VN:베트남</t>
  </si>
  <si>
    <t>02:HCM City</t>
  </si>
  <si>
    <t>35 Đ. Đồng Khởi, Tân Triều, Đồng Nai, Vietnam</t>
  </si>
  <si>
    <t>10.971882</t>
  </si>
  <si>
    <t>106.852692</t>
  </si>
  <si>
    <t>10.956862</t>
  </si>
  <si>
    <t>106.841441</t>
  </si>
  <si>
    <t>[{"types": ["plus_code"], "long_text": "XR4R+PHW", "short_text": "XR4R+PHW", "language_code": null, "source_api": "geocoding"}, {"types": ["locality", "political"], "long_text": "Dong Nai City", "short_text": "Dong Nai City", "language_code": null, "source_api": "geocoding"}, {"types": ["administrative_area_level_1", "political"], "long_text": "Dong Nai City", "short_text": "Dong Nai City", "language_code": null, "source_api": "geocoding"}, {"types": ["country", "political"], "long_text": "Vietnam", "short_text": "VN", "language_code": null, "source_api": "geocoding"}]</t>
  </si>
  <si>
    <t>SEGYUNG VINA CO.,LTD</t>
  </si>
  <si>
    <t>06:Bac Ninh</t>
  </si>
  <si>
    <t>Yên Phong, Bắc Ninh, Vietnam</t>
  </si>
  <si>
    <t>SEGYUNG VINA</t>
  </si>
  <si>
    <t>Unnamed, Road, Yên Trung, Bắc Ninh, Vietnam</t>
  </si>
  <si>
    <t>21.227118</t>
  </si>
  <si>
    <t>105.996776</t>
  </si>
  <si>
    <t>ChIJyZyNn1YPNTERIb6KZczsFVE</t>
  </si>
  <si>
    <t>[{"types": ["route"], "long_text": "Unnamed", "short_text": "Unnamed", "language_code": "vi", "source_api": "places_new"}, {"types": ["neighborhood", "political"], "long_text": "Road", "short_text": "Road", "language_code": "vi", "source_api": "places_new"}, {"types": ["locality", "political"], "long_text": "Yên Trung", "short_text": "Yên Trung", "language_code": "vi", "source_api": "places_new"}, {"types": ["administrative_area_level_1", "political"], "long_text": "Bắc Ninh", "short_text": "Bắc Ninh", "language_code": "vi", "source_api": "places_new"}, {"types": ["country", "political"], "long_text": "Vietnam", "short_text": "VN", "language_code": "en", "source_api": "places_new"}]</t>
  </si>
  <si>
    <t>SI FLEX VIETNAM CO.,LTD.</t>
  </si>
  <si>
    <t>01:Hanoi</t>
  </si>
  <si>
    <t>SI FLEX VIETNAM</t>
  </si>
  <si>
    <t>Land lot A industrial zone, Nếnh, Bắc Ninh, Vietnam</t>
  </si>
  <si>
    <t>ChIJLdXaZtoNNTERiTzFefw_X7o</t>
  </si>
  <si>
    <t>[{"types": [], "long_text": "Land lot A industrial zone", "short_text": "", "language_code": "vi", "source_api": "places_new"}, {"types": ["locality", "political"], "long_text": "Nếnh", "short_text": "Nếnh", "language_code": "vi", "source_api": "places_new"}, {"types": ["administrative_area_level_1", "political"], "long_text": "Bắc Ninh", "short_text": "Bắc Ninh", "language_code": "vi", "source_api": "places_new"}, {"types": ["country", "political"], "long_text": "Vietnam", "short_text": "VN", "language_code": "en", "source_api": "places_new"}]</t>
  </si>
  <si>
    <t>260:Gansu</t>
  </si>
  <si>
    <t>Qin Zhou Da Dao, Qin Zhou Qu, Tian Shui Shi, Gan Su Sheng, China</t>
  </si>
  <si>
    <t>34.563560</t>
  </si>
  <si>
    <t>105.593670</t>
  </si>
  <si>
    <t>[{"types": ["route"], "long_text": "Qin Zhou Da Dao", "short_text": "Qin Zhou Da Dao", "language_code": null, "source_api": "geocoding"}, {"types": ["political", "sublocality", "sublocality_level_1"], "long_text": "Qin Zhou Qu", "short_text": "Qin Zhou Qu", "language_code": null, "source_api": "geocoding"}, {"types": ["locality", "political"], "long_text": "Tian Shui Shi", "short_text": "Tian Shui Shi", "language_code": null, "source_api": "geocoding"}, {"types": ["administrative_area_level_1", "political"], "long_text": "Gan Su Sheng", "short_text": "Gan Su Sheng", "language_code": null, "source_api": "geocoding"}, {"types": ["country", "political"], "long_text": "China", "short_text": "CN", "language_code": null, "source_api": "geocoding"}]</t>
  </si>
  <si>
    <t>31.353000</t>
  </si>
  <si>
    <t>120.749550</t>
  </si>
  <si>
    <t>BOYD KOREA LLC</t>
  </si>
  <si>
    <t>04:Chungcheongbuk-do</t>
  </si>
  <si>
    <t>(Hwagye-dong)2, 2Sunhwan-ro 742beon-gil, Heungdeok-gu, Cheongju-si, Chungcheongbuk-do</t>
  </si>
  <si>
    <t>BOYD KOREA</t>
  </si>
  <si>
    <t>2 2sunhwan-ro 742beon-gil, Heungdeok-gu, Cheongju, Chungcheongbuk-do, South Korea</t>
  </si>
  <si>
    <t>지오코딩 성공, 표준좌표 기준 TextSearch 매칭</t>
  </si>
  <si>
    <t>36.656145</t>
  </si>
  <si>
    <t>127.443492</t>
  </si>
  <si>
    <t>ChIJFWasIsgpZTURvxEVwC2zlWk</t>
  </si>
  <si>
    <t>https://www.google.com/maps/place/?q=place_id:ChIJFWasIsgpZTURvxEVwC2zlWk</t>
  </si>
  <si>
    <t>[{"types": ["premise"], "long_text": "2", "short_text": "2", "language_code": "en-US", "source_api": "places_new"}, {"types": ["sublocality_level_4", "sublocality", "political"], "long_text": "2sunhwan-ro 742beon-gil", "short_text": "2sunhwan-ro 742beon-gil", "language_code": "en", "source_api": "places_new"}, {"types": ["sublocality_level_1", "sublocality", "political"], "long_text": "Heungdeok-gu", "short_text": "Heungdeok-gu", "language_code": "en", "source_api": "places_new"}, {"types": ["locality", "political"], "long_text": "Cheongju", "short_text": "Cheongju", "language_code": "ko-Latn", "source_api": "places_new"}, {"types": ["administrative_area_level_1", "political"], "long_text": "Chungcheongbuk-do", "short_text": "Chungcheongbuk-do", "language_code": "en", "source_api": "places_new"}, {"types": ["country", "political"], "long_text": "South Korea", "short_text": "KR", "language_code": "en", "source_api": "places_new"}, {"types": ["postal_code"], "long_text": "28294", "short_text": "28294", "language_code": "en-US", "source_api": "places_new"}]</t>
  </si>
  <si>
    <t>Dinnoteck Co.,Ltd.</t>
  </si>
  <si>
    <t>17:Korea(General)</t>
  </si>
  <si>
    <t>9F</t>
  </si>
  <si>
    <t>Dinnoteck</t>
  </si>
  <si>
    <t>실패</t>
  </si>
  <si>
    <t>FAILED_ALL_METHODS</t>
  </si>
  <si>
    <t>좌표 자원이 없는 상태에서 지오코딩·TextSearch 모두 실패</t>
  </si>
  <si>
    <t>SHINHAN DIAMOND(XI'AN)</t>
  </si>
  <si>
    <t>4R26+H2 Chang'An, Xi'An, Shaanxi, China</t>
  </si>
  <si>
    <t>34.101438</t>
  </si>
  <si>
    <t>108.810063</t>
  </si>
  <si>
    <t>[{"types": ["plus_code"], "long_text": "4R26+H2", "short_text": "4R26+H2", "language_code": null, "source_api": "geocoding"}, {"types": ["political", "sublocality", "sublocality_level_1"], "long_text": "Chang'An", "short_text": "Chang'An", "language_code": null, "source_api": "geocoding"}, {"types": ["locality", "political"], "long_text": "Xi'An", "short_text": "Xi'An", "language_code": null, "source_api": "geocoding"}, {"types": ["administrative_area_level_1", "political"], "long_text": "Shaanxi", "short_text": "Shaanxi", "language_code": null, "source_api": "geocoding"}, {"types": ["country", "political"], "long_text": "China", "short_text": "CN", "language_code": null, "source_api": "geocoding"}]</t>
  </si>
  <si>
    <t>SUZHOU POSTEL CO.,LTD</t>
  </si>
  <si>
    <t>SUZHOU POSTEL</t>
  </si>
  <si>
    <t>4 Li Da Lu, Wu Zhong Qu, Su Zhou Shi, Jiang Su Sheng, China, 215121</t>
  </si>
  <si>
    <t>31.355620</t>
  </si>
  <si>
    <t>120.749700</t>
  </si>
  <si>
    <t>[{"types": ["street_number"], "long_text": "4", "short_text": "4", "language_code": null, "source_api": "geocoding"}, {"types": ["route"], "long_text": "Li Da Lu", "short_text": "Li Da Lu", "language_code": null, "source_api": "geocoding"}, {"types": ["political", "sublocality", "sublocality_level_1"], "long_text": "Wu Zhong Qu", "short_text": "Wu Zhong Qu", "language_code": null, "source_api": "geocoding"}, {"types": ["locality", "political"], "long_text": "Su Zhou Shi", "short_text": "Su Zhou Shi", "language_code": null, "source_api": "geocoding"}, {"types": ["administrative_area_level_1", "political"], "long_text": "Jiang Su Sheng", "short_text": "Jiang Su Sheng", "language_code": null, "source_api": "geocoding"}, {"types": ["country", "political"], "long_text": "China", "short_text": "CN", "language_code": null, "source_api": "geocoding"}, {"types": ["postal_code"], "long_text": "215121", "short_text": "215121", "language_code": null, "source_api": "geocoding"}]</t>
  </si>
  <si>
    <t>LT Metal Co,.LTd.</t>
  </si>
  <si>
    <t>06:Incheon</t>
  </si>
  <si>
    <t>(Gajwa-dong) 14, Gajaeul-ro, Seohae-gu, Incheon, Korea</t>
  </si>
  <si>
    <t>LT Metal Co</t>
  </si>
  <si>
    <t>South Korea, Incheon, Seo-gu, 가좌3동 548-1</t>
  </si>
  <si>
    <t>37.481420</t>
  </si>
  <si>
    <t>126.675683</t>
  </si>
  <si>
    <t>ChIJuX97ykp5ezURvoBAfyo8OvE</t>
  </si>
  <si>
    <t>[{"types": ["premise"], "long_text": "548-1", "short_text": "548-1", "language_code": "en-US", "source_api": "places_new"}, {"types": ["sublocality_level_2", "sublocality", "political"], "long_text": "가좌3동", "short_text": "가좌3동", "language_code": "ko", "source_api": "places_new"}, {"types": ["sublocality_level_1", "sublocality", "political"], "long_text": "Seo-gu", "short_text": "Seo-gu", "language_code": "en", "source_api": "places_new"}, {"types": ["administrative_area_level_1", "political"], "long_text": "Incheon", "short_text": "Incheon", "language_code": "en", "source_api": "places_new"}, {"types": ["country", "political"], "long_text": "South Korea", "short_text": "KR", "language_code": "en", "source_api": "places_new"}, {"types": ["postal_code"], "long_text": "22828", "short_text": "22828", "language_code": "en-US", "source_api": "places_new"}]</t>
  </si>
  <si>
    <t>88 Wen Du Lu, Xiang Cheng Qu, Su Zhou Shi, Jiang Su Sheng, China, 215155</t>
  </si>
  <si>
    <t>31.422170</t>
  </si>
  <si>
    <t>120.442620</t>
  </si>
  <si>
    <t>ChIJyUh-z12ZszURvqkpBlxLceE</t>
  </si>
  <si>
    <t>[{"types": ["street_number"], "long_text": "88", "short_text": "88", "language_code": "en-US", "source_api": "places_new"}, {"types": ["route"], "long_text": "Wen Du Lu", "short_text": "Wen Du Lu", "language_code": "zh-Latn", "source_api": "places_new"}, {"types": ["sublocality_level_1", "sublocality", "political"], "long_text": "Xiang Cheng Qu", "short_text": "Xiang Cheng Qu", "language_code": "zh-Latn", "source_api": "places_new"}, {"types": ["locality", "political"], "long_text": "Su Zhou Shi", "short_text": "Su Zhou Shi", "language_code": "zh-Latn", "source_api": "places_new"}, {"types": ["administrative_area_level_1", "political"], "long_text": "Jiang Su Sheng", "short_text": "Jiang Su Sheng", "language_code": "zh-Latn", "source_api": "places_new"}, {"types": ["country", "political"], "long_text": "China", "short_text": "CN", "language_code": "en", "source_api": "places_new"}, {"types": ["postal_code"], "long_text": "215155", "short_text": "215155", "language_code": "en-US", "source_api": "places_new"}]</t>
  </si>
  <si>
    <r>
      <t>China, Su Zhou Shi, Hu Qiu Qu, CN 江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 xml:space="preserve">省 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州市 虎丘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 xml:space="preserve"> 漓江路 58 58</t>
    </r>
    <r>
      <rPr>
        <sz val="10"/>
        <color theme="1" tint="0.249977111117893"/>
        <rFont val="맑은 고딕"/>
        <family val="2"/>
        <scheme val="minor"/>
      </rPr>
      <t>号苏</t>
    </r>
    <r>
      <rPr>
        <sz val="10"/>
        <color theme="1" tint="0.249977111117893"/>
        <rFont val="맑은 고딕"/>
        <family val="3"/>
        <charset val="129"/>
        <scheme val="minor"/>
      </rPr>
      <t>州科技城工</t>
    </r>
    <r>
      <rPr>
        <sz val="10"/>
        <color theme="1" tint="0.249977111117893"/>
        <rFont val="맑은 고딕"/>
        <family val="2"/>
        <scheme val="minor"/>
      </rPr>
      <t>业</t>
    </r>
    <r>
      <rPr>
        <sz val="10"/>
        <color theme="1" tint="0.249977111117893"/>
        <rFont val="맑은 고딕"/>
        <family val="3"/>
        <charset val="129"/>
        <scheme val="minor"/>
      </rPr>
      <t>坊B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>6</t>
    </r>
    <r>
      <rPr>
        <sz val="10"/>
        <color theme="1" tint="0.249977111117893"/>
        <rFont val="맑은 고딕"/>
        <family val="2"/>
        <scheme val="minor"/>
      </rPr>
      <t>栋</t>
    </r>
    <r>
      <rPr>
        <sz val="10"/>
        <color theme="1" tint="0.249977111117893"/>
        <rFont val="맑은 고딕"/>
        <family val="3"/>
        <charset val="129"/>
        <scheme val="minor"/>
      </rPr>
      <t xml:space="preserve"> </t>
    </r>
    <r>
      <rPr>
        <sz val="10"/>
        <color theme="1" tint="0.249977111117893"/>
        <rFont val="맑은 고딕"/>
        <family val="2"/>
        <scheme val="minor"/>
      </rPr>
      <t>邮</t>
    </r>
    <r>
      <rPr>
        <sz val="10"/>
        <color theme="1" tint="0.249977111117893"/>
        <rFont val="맑은 고딕"/>
        <family val="3"/>
        <charset val="129"/>
        <scheme val="minor"/>
      </rPr>
      <t>政</t>
    </r>
    <r>
      <rPr>
        <sz val="10"/>
        <color theme="1" tint="0.249977111117893"/>
        <rFont val="맑은 고딕"/>
        <family val="2"/>
        <scheme val="minor"/>
      </rPr>
      <t>编码</t>
    </r>
    <r>
      <rPr>
        <sz val="10"/>
        <color theme="1" tint="0.249977111117893"/>
        <rFont val="맑은 고딕"/>
        <family val="3"/>
        <charset val="129"/>
        <scheme val="minor"/>
      </rPr>
      <t>: 215163</t>
    </r>
  </si>
  <si>
    <r>
      <t>[{"types": [], "long_text": "CN 江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 xml:space="preserve">省 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州市 虎丘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 xml:space="preserve"> 漓江路 58 58</t>
    </r>
    <r>
      <rPr>
        <sz val="10"/>
        <color theme="1" tint="0.249977111117893"/>
        <rFont val="맑은 고딕"/>
        <family val="2"/>
        <scheme val="minor"/>
      </rPr>
      <t>号苏</t>
    </r>
    <r>
      <rPr>
        <sz val="10"/>
        <color theme="1" tint="0.249977111117893"/>
        <rFont val="맑은 고딕"/>
        <family val="3"/>
        <charset val="129"/>
        <scheme val="minor"/>
      </rPr>
      <t>州科技城工</t>
    </r>
    <r>
      <rPr>
        <sz val="10"/>
        <color theme="1" tint="0.249977111117893"/>
        <rFont val="맑은 고딕"/>
        <family val="2"/>
        <scheme val="minor"/>
      </rPr>
      <t>业</t>
    </r>
    <r>
      <rPr>
        <sz val="10"/>
        <color theme="1" tint="0.249977111117893"/>
        <rFont val="맑은 고딕"/>
        <family val="3"/>
        <charset val="129"/>
        <scheme val="minor"/>
      </rPr>
      <t>坊B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>6</t>
    </r>
    <r>
      <rPr>
        <sz val="10"/>
        <color theme="1" tint="0.249977111117893"/>
        <rFont val="맑은 고딕"/>
        <family val="2"/>
        <scheme val="minor"/>
      </rPr>
      <t>栋</t>
    </r>
    <r>
      <rPr>
        <sz val="10"/>
        <color theme="1" tint="0.249977111117893"/>
        <rFont val="맑은 고딕"/>
        <family val="3"/>
        <charset val="129"/>
        <scheme val="minor"/>
      </rPr>
      <t>", "short_text": "", "language_code": "zh", "source_api": "places_new"}, {"types": ["country", "political"], "long_text": "China", "short_text": "CN", "language_code": "en", "source_api": "places_new"}, {"types": ["sublocality_level_1", "sublocality", "political"], "long_text": "Hu Qiu Qu", "short_text": "Hu Qiu Qu", "language_code": "zh-Latn", "source_api": "places_new"}, {"types": ["locality", "political"], "long_text": "Su Zhou Shi", "short_text": "Su Zhou Shi", "language_code": "zh-Latn", "source_api": "places_new"}, {"types": ["postal_code"], "long_text": "215163", "short_text": "215163", "language_code": "en-US", "source_api": "places_new"}]</t>
    </r>
  </si>
  <si>
    <r>
      <t xml:space="preserve">China, Shan Xi Sheng, Xi An Shi, Ba Qiao Qu, </t>
    </r>
    <r>
      <rPr>
        <sz val="10"/>
        <color theme="1" tint="0.249977111117893"/>
        <rFont val="맑은 고딕"/>
        <family val="2"/>
        <scheme val="minor"/>
      </rPr>
      <t>亚</t>
    </r>
    <r>
      <rPr>
        <sz val="10"/>
        <color theme="1" tint="0.249977111117893"/>
        <rFont val="맑은 고딕"/>
        <family val="3"/>
        <charset val="129"/>
        <scheme val="minor"/>
      </rPr>
      <t xml:space="preserve">洲道93WG+FFR </t>
    </r>
    <r>
      <rPr>
        <sz val="10"/>
        <color theme="1" tint="0.249977111117893"/>
        <rFont val="맑은 고딕"/>
        <family val="2"/>
        <scheme val="minor"/>
      </rPr>
      <t>邮</t>
    </r>
    <r>
      <rPr>
        <sz val="10"/>
        <color theme="1" tint="0.249977111117893"/>
        <rFont val="맑은 고딕"/>
        <family val="3"/>
        <charset val="129"/>
        <scheme val="minor"/>
      </rPr>
      <t>政</t>
    </r>
    <r>
      <rPr>
        <sz val="10"/>
        <color theme="1" tint="0.249977111117893"/>
        <rFont val="맑은 고딕"/>
        <family val="2"/>
        <scheme val="minor"/>
      </rPr>
      <t>编码</t>
    </r>
    <r>
      <rPr>
        <sz val="10"/>
        <color theme="1" tint="0.249977111117893"/>
        <rFont val="맑은 고딕"/>
        <family val="3"/>
        <charset val="129"/>
        <scheme val="minor"/>
      </rPr>
      <t>: 710027</t>
    </r>
  </si>
  <si>
    <r>
      <t>[{"types": ["plus_code"], "long_text": "93WG+FFR", "short_text": "93WG+FFR", "language_code": null, "source_api": "geocoding"}, {"types": ["route"], "long_text": "</t>
    </r>
    <r>
      <rPr>
        <sz val="10"/>
        <color theme="1" tint="0.249977111117893"/>
        <rFont val="맑은 고딕"/>
        <family val="2"/>
        <scheme val="minor"/>
      </rPr>
      <t>亚</t>
    </r>
    <r>
      <rPr>
        <sz val="10"/>
        <color theme="1" tint="0.249977111117893"/>
        <rFont val="맑은 고딕"/>
        <family val="3"/>
        <charset val="129"/>
        <scheme val="minor"/>
      </rPr>
      <t>洲道", "short_text": "</t>
    </r>
    <r>
      <rPr>
        <sz val="10"/>
        <color theme="1" tint="0.249977111117893"/>
        <rFont val="맑은 고딕"/>
        <family val="2"/>
        <scheme val="minor"/>
      </rPr>
      <t>亚</t>
    </r>
    <r>
      <rPr>
        <sz val="10"/>
        <color theme="1" tint="0.249977111117893"/>
        <rFont val="맑은 고딕"/>
        <family val="3"/>
        <charset val="129"/>
        <scheme val="minor"/>
      </rPr>
      <t>洲道", "language_code": null, "source_api": "geocoding"}, {"types": ["political", "sublocality", "sublocality_level_1"], "long_text": "Ba Qiao Qu", "short_text": "Ba Qiao Qu", "language_code": null, "source_api": "geocoding"}, {"types": ["locality", "political"], "long_text": "Xi An Shi", "short_text": "Xi An Shi", "language_code": null, "source_api": "geocoding"}, {"types": ["administrative_area_level_1", "political"], "long_text": "Shan Xi Sheng", "short_text": "Shan Xi Sheng", "language_code": null, "source_api": "geocoding"}, {"types": ["country", "political"], "long_text": "China", "short_text": "CN", "language_code": null, "source_api": "geocoding"}, {"types": ["postal_code"], "long_text": "710027", "short_text": "710027", "language_code": null, "source_api": "geocoding"}]</t>
    </r>
  </si>
  <si>
    <r>
      <t>35, Đ</t>
    </r>
    <r>
      <rPr>
        <sz val="10"/>
        <color theme="1" tint="0.249977111117893"/>
        <rFont val="맑은 고딕"/>
        <family val="2"/>
        <scheme val="minor"/>
      </rPr>
      <t>ư</t>
    </r>
    <r>
      <rPr>
        <sz val="10"/>
        <color theme="1" tint="0.249977111117893"/>
        <rFont val="맑은 고딕"/>
        <family val="3"/>
        <charset val="129"/>
        <scheme val="minor"/>
      </rPr>
      <t>ờng Đồng Khởi, thành phố Biên Hòa, Đồng Nai, Vietnam</t>
    </r>
  </si>
  <si>
    <r>
      <t>[{"types": ["street_number"], "long_text": "35", "short_text": "35", "language_code": null, "source_api": "geocoding"}, {"types": ["route"], "long_text": "Đ</t>
    </r>
    <r>
      <rPr>
        <sz val="10"/>
        <color theme="1" tint="0.249977111117893"/>
        <rFont val="맑은 고딕"/>
        <family val="2"/>
        <scheme val="minor"/>
      </rPr>
      <t>ư</t>
    </r>
    <r>
      <rPr>
        <sz val="10"/>
        <color theme="1" tint="0.249977111117893"/>
        <rFont val="맑은 고딕"/>
        <family val="3"/>
        <charset val="129"/>
        <scheme val="minor"/>
      </rPr>
      <t>ờng Đồng Khởi", "short_text": "Đ. Đồng Khởi", "language_code": null, "source_api": "geocoding"}, {"types": ["locality", "political"], "long_text": "Đồng Nai", "short_text": "Đồng Nai", "language_code": null, "source_api": "geocoding"}, {"types": ["administrative_area_level_1", "political"], "long_text": "Đồng Nai", "short_text": "Đồng Nai", "language_code": null, "source_api": "geocoding"}, {"types": ["country", "political"], "long_text": "Vietnam", "short_text": "VN", "language_code": null, "source_api": "geocoding"}]</t>
    </r>
  </si>
  <si>
    <r>
      <t>Đ</t>
    </r>
    <r>
      <rPr>
        <sz val="10"/>
        <color theme="1" tint="0.249977111117893"/>
        <rFont val="맑은 고딕"/>
        <family val="2"/>
        <scheme val="minor"/>
      </rPr>
      <t>ư</t>
    </r>
    <r>
      <rPr>
        <sz val="10"/>
        <color theme="1" tint="0.249977111117893"/>
        <rFont val="맑은 고딕"/>
        <family val="3"/>
        <charset val="129"/>
        <scheme val="minor"/>
      </rPr>
      <t>ờng 1A, tt. Nếnh, Việt Yên, Bắc Giang, Vietnam</t>
    </r>
  </si>
  <si>
    <r>
      <t>天水</t>
    </r>
    <r>
      <rPr>
        <sz val="10"/>
        <color theme="1" tint="0.249977111117893"/>
        <rFont val="맑은 고딕"/>
        <family val="2"/>
        <scheme val="minor"/>
      </rPr>
      <t>华</t>
    </r>
    <r>
      <rPr>
        <sz val="10"/>
        <color theme="1" tint="0.249977111117893"/>
        <rFont val="맑은 고딕"/>
        <family val="3"/>
        <charset val="129"/>
        <scheme val="minor"/>
      </rPr>
      <t>天科技股</t>
    </r>
    <r>
      <rPr>
        <sz val="10"/>
        <color theme="1" tint="0.249977111117893"/>
        <rFont val="맑은 고딕"/>
        <family val="2"/>
        <scheme val="minor"/>
      </rPr>
      <t>份</t>
    </r>
    <r>
      <rPr>
        <sz val="10"/>
        <color theme="1" tint="0.249977111117893"/>
        <rFont val="맑은 고딕"/>
        <family val="3"/>
        <charset val="129"/>
        <scheme val="minor"/>
      </rPr>
      <t>有限公司</t>
    </r>
  </si>
  <si>
    <r>
      <t>秦州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>天水郡街道秦州大道360</t>
    </r>
    <r>
      <rPr>
        <sz val="10"/>
        <color theme="1" tint="0.249977111117893"/>
        <rFont val="맑은 고딕"/>
        <family val="2"/>
        <scheme val="minor"/>
      </rPr>
      <t>号</t>
    </r>
    <r>
      <rPr>
        <sz val="10"/>
        <color theme="1" tint="0.249977111117893"/>
        <rFont val="맑은 고딕"/>
        <family val="3"/>
        <charset val="129"/>
        <scheme val="minor"/>
      </rPr>
      <t xml:space="preserve">  天水  741001 CN</t>
    </r>
  </si>
  <si>
    <r>
      <t>天水</t>
    </r>
    <r>
      <rPr>
        <sz val="10"/>
        <color theme="1" tint="0.249977111117893"/>
        <rFont val="맑은 고딕"/>
        <family val="2"/>
        <scheme val="minor"/>
      </rPr>
      <t>华</t>
    </r>
    <r>
      <rPr>
        <sz val="10"/>
        <color theme="1" tint="0.249977111117893"/>
        <rFont val="맑은 고딕"/>
        <family val="3"/>
        <charset val="129"/>
        <scheme val="minor"/>
      </rPr>
      <t>天科技</t>
    </r>
  </si>
  <si>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州新特式半</t>
    </r>
    <r>
      <rPr>
        <sz val="10"/>
        <color theme="1" tint="0.249977111117893"/>
        <rFont val="맑은 고딕"/>
        <family val="2"/>
        <scheme val="minor"/>
      </rPr>
      <t>导</t>
    </r>
    <r>
      <rPr>
        <sz val="10"/>
        <color theme="1" tint="0.249977111117893"/>
        <rFont val="맑은 고딕"/>
        <family val="3"/>
        <charset val="129"/>
        <scheme val="minor"/>
      </rPr>
      <t>体有限公司</t>
    </r>
  </si>
  <si>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州新特式半</t>
    </r>
    <r>
      <rPr>
        <sz val="10"/>
        <color theme="1" tint="0.249977111117893"/>
        <rFont val="맑은 고딕"/>
        <family val="2"/>
        <scheme val="minor"/>
      </rPr>
      <t>导</t>
    </r>
    <r>
      <rPr>
        <sz val="10"/>
        <color theme="1" tint="0.249977111117893"/>
        <rFont val="맑은 고딕"/>
        <family val="3"/>
        <charset val="129"/>
        <scheme val="minor"/>
      </rPr>
      <t>体</t>
    </r>
  </si>
  <si>
    <r>
      <t xml:space="preserve">亭 </t>
    </r>
    <r>
      <rPr>
        <sz val="10"/>
        <color theme="1" tint="0.249977111117893"/>
        <rFont val="맑은 고딕"/>
        <family val="2"/>
        <scheme val="minor"/>
      </rPr>
      <t>镇</t>
    </r>
    <r>
      <rPr>
        <sz val="10"/>
        <color theme="1" tint="0.249977111117893"/>
        <rFont val="맑은 고딕"/>
        <family val="3"/>
        <charset val="129"/>
        <scheme val="minor"/>
      </rPr>
      <t>, 2 Chun Hui Lu, Wu Zhong Qu, Su Zhou Shi, Jiang Su Sheng, China, 215121</t>
    </r>
  </si>
  <si>
    <r>
      <t xml:space="preserve">[{"types": ["subpremise"], "long_text": "亭 </t>
    </r>
    <r>
      <rPr>
        <sz val="10"/>
        <color theme="1" tint="0.249977111117893"/>
        <rFont val="맑은 고딕"/>
        <family val="2"/>
        <scheme val="minor"/>
      </rPr>
      <t>镇</t>
    </r>
    <r>
      <rPr>
        <sz val="10"/>
        <color theme="1" tint="0.249977111117893"/>
        <rFont val="맑은 고딕"/>
        <family val="3"/>
        <charset val="129"/>
        <scheme val="minor"/>
      </rPr>
      <t xml:space="preserve">", "short_text": "亭 </t>
    </r>
    <r>
      <rPr>
        <sz val="10"/>
        <color theme="1" tint="0.249977111117893"/>
        <rFont val="맑은 고딕"/>
        <family val="2"/>
        <scheme val="minor"/>
      </rPr>
      <t>镇</t>
    </r>
    <r>
      <rPr>
        <sz val="10"/>
        <color theme="1" tint="0.249977111117893"/>
        <rFont val="맑은 고딕"/>
        <family val="3"/>
        <charset val="129"/>
        <scheme val="minor"/>
      </rPr>
      <t>", "language_code": null, "source_api": "geocoding"}, {"types": ["street_number"], "long_text": "2", "short_text": "2", "language_code": null, "source_api": "geocoding"}, {"types": ["route"], "long_text": "Chun Hui Lu", "short_text": "Chun Hui Lu", "language_code": null, "source_api": "geocoding"}, {"types": ["political", "sublocality", "sublocality_level_1"], "long_text": "Wu Zhong Qu", "short_text": "Wu Zhong Qu", "language_code": null, "source_api": "geocoding"}, {"types": ["locality", "political"], "long_text": "Su Zhou Shi", "short_text": "Su Zhou Shi", "language_code": null, "source_api": "geocoding"}, {"types": ["administrative_area_level_1", "political"], "long_text": "Jiang Su Sheng", "short_text": "Jiang Su Sheng", "language_code": null, "source_api": "geocoding"}, {"types": ["country", "political"], "long_text": "China", "short_text": "CN", "language_code": null, "source_api": "geocoding"}, {"types": ["postal_code"], "long_text": "215121", "short_text": "215121", "language_code": null, "source_api": "geocoding"}]</t>
    </r>
  </si>
  <si>
    <r>
      <rPr>
        <sz val="10"/>
        <color theme="1" tint="0.249977111117893"/>
        <rFont val="맑은 고딕"/>
        <family val="2"/>
        <scheme val="minor"/>
      </rPr>
      <t>达</t>
    </r>
    <r>
      <rPr>
        <sz val="10"/>
        <color theme="1" tint="0.249977111117893"/>
        <rFont val="맑은 고딕"/>
        <family val="3"/>
        <charset val="129"/>
        <scheme val="minor"/>
      </rPr>
      <t>成包装制品(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州)有限公司</t>
    </r>
  </si>
  <si>
    <r>
      <rPr>
        <sz val="10"/>
        <color theme="1" tint="0.249977111117893"/>
        <rFont val="맑은 고딕"/>
        <family val="2"/>
        <scheme val="minor"/>
      </rPr>
      <t>达</t>
    </r>
    <r>
      <rPr>
        <sz val="10"/>
        <color theme="1" tint="0.249977111117893"/>
        <rFont val="맑은 고딕"/>
        <family val="3"/>
        <charset val="129"/>
        <scheme val="minor"/>
      </rPr>
      <t>成包装制品(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州)</t>
    </r>
  </si>
  <si>
    <t/>
  </si>
  <si>
    <t>1 San Qian Road Suzhou Gaoxin District</t>
    <phoneticPr fontId="1" type="noConversion"/>
  </si>
  <si>
    <t>https://www.google.com/maps/place/?q=place_id:ChIJmegxpsmdszURxrpKRCsOcA8</t>
    <phoneticPr fontId="1" type="noConversion"/>
  </si>
  <si>
    <t>Suzhou Kematek, Inc.</t>
    <phoneticPr fontId="1" type="noConversion"/>
  </si>
  <si>
    <t>Honeywell Automation and Control Solution(China) Co.,Ltd.</t>
    <phoneticPr fontId="1" type="noConversion"/>
  </si>
  <si>
    <t>FUTE NORTH ROAD NO.456 5F A2 ROOM SHANGHAI PILOT FREE TRADE ZONE</t>
    <phoneticPr fontId="1" type="noConversion"/>
  </si>
  <si>
    <t>https://www.google.com/maps/search/?api=1&amp;query=Honeywell%20Automation%20and%20Control%20Solution%28China%29%20Co.%2CLtd.%20FUTE%20NORTH%20ROAD%20NO.456%205F%20A2%20ROOM%20SHANGHAI%20PILOT%20FREE%20TRADE%20ZONE</t>
    <phoneticPr fontId="1" type="noConversion"/>
  </si>
  <si>
    <r>
      <t xml:space="preserve">중국 Shan Xi Sheng, Xi An Shi, Ba Qiao Qu, </t>
    </r>
    <r>
      <rPr>
        <sz val="10"/>
        <color theme="1" tint="0.249977111117893"/>
        <rFont val="Microsoft JhengHei"/>
        <family val="2"/>
        <charset val="136"/>
      </rPr>
      <t>亚</t>
    </r>
    <r>
      <rPr>
        <sz val="10"/>
        <color theme="1" tint="0.249977111117893"/>
        <rFont val="맑은 고딕"/>
        <family val="3"/>
        <charset val="129"/>
        <scheme val="minor"/>
      </rPr>
      <t xml:space="preserve">洲道93WF+8X9 </t>
    </r>
    <r>
      <rPr>
        <sz val="10"/>
        <color theme="1" tint="0.249977111117893"/>
        <rFont val="Microsoft JhengHei"/>
        <family val="2"/>
        <charset val="136"/>
      </rPr>
      <t>邮</t>
    </r>
    <r>
      <rPr>
        <sz val="10"/>
        <color theme="1" tint="0.249977111117893"/>
        <rFont val="맑은 고딕"/>
        <family val="3"/>
        <charset val="129"/>
        <scheme val="minor"/>
      </rPr>
      <t>政</t>
    </r>
    <r>
      <rPr>
        <sz val="10"/>
        <color theme="1" tint="0.249977111117893"/>
        <rFont val="Microsoft JhengHei"/>
        <family val="2"/>
        <charset val="136"/>
      </rPr>
      <t>编码</t>
    </r>
    <r>
      <rPr>
        <sz val="10"/>
        <color theme="1" tint="0.249977111117893"/>
        <rFont val="맑은 고딕"/>
        <family val="3"/>
        <charset val="129"/>
        <scheme val="minor"/>
      </rPr>
      <t>: 710027</t>
    </r>
    <phoneticPr fontId="1" type="noConversion"/>
  </si>
  <si>
    <t>https://www.google.com/maps/search/?api=1&amp;query=CINOS%28CX1%2CCX2%29%20%EC%A4%91%EA%B5%AD%20Shan%20Xi%20Sheng%2C%20Xi%20An%20Shi%2C%20Ba%20Qiao%20Qu%2C%20%E4%BA%9A%E6%B4%B2%E9%81%9393WF%2B8X9%20%E9%82%AE%E6%94%BF%E7%BC%96%E7%A0%81%3A%20710027</t>
    <phoneticPr fontId="1" type="noConversion"/>
  </si>
  <si>
    <t>PO BOX 200269 HOUSTON TX</t>
    <phoneticPr fontId="1" type="noConversion"/>
  </si>
  <si>
    <t>https://www.google.com/maps/place/?q=place_id:ChIJsTtJC6y4QIYRSI2XSZdeW3Q</t>
    <phoneticPr fontId="1" type="noConversion"/>
  </si>
  <si>
    <t>https://www.google.com/maps/place/?q=place_id:ChIJ83c4KwAXezURJ2oNR5ylGaY</t>
    <phoneticPr fontId="1" type="noConversion"/>
  </si>
  <si>
    <t>https://www.google.com/maps/search/?api=1&amp;query=CINOS%28C1%29%20%EB%8C%80%ED%95%9C%EB%AF%BC%EA%B5%AD%20%EA%B2%BD%EA%B8%B0%EB%8F%84%20%ED%99%94%EC%84%B1%EC%8B%9C%20%ED%8C%94%ED%83%84%EB%A9%B4%20%EA%B0%80%EC%9E%AC%EB%A6%AC%20299-2</t>
    <phoneticPr fontId="1" type="noConversion"/>
  </si>
  <si>
    <t>https://www.google.com/maps/search/?api=1&amp;query=Solstice%20Electronic%20Materials%20-%20Spokane%20PO%20BOX%20100257%20PASADENA%20CA</t>
    <phoneticPr fontId="1" type="noConversion"/>
  </si>
  <si>
    <t>Solstice Electronic Materials - Spokane</t>
    <phoneticPr fontId="1" type="noConversion"/>
  </si>
  <si>
    <t>https://www.google.com/maps/search/?api=1&amp;query=CW%20QUERETARO%20MEXICO%20SA%20DE%20CV%20RHH5%2B52%2C%20El%20Puerto%2C%20Quer%C3%A9taro%2C%20Mexico%2C%2076215</t>
    <phoneticPr fontId="1" type="noConversion"/>
  </si>
  <si>
    <t>https://www.google.com/maps/place/?q=place_id:ChIJq6qqqubMSjAR7P43RFFhmpU</t>
    <phoneticPr fontId="1" type="noConversion"/>
  </si>
  <si>
    <t>https://www.google.com/maps/place/?q=place_id:ChIJ99jhXa2pszURVhN82bFMSDI</t>
    <phoneticPr fontId="1" type="noConversion"/>
  </si>
  <si>
    <t>8Q9C+R6W, Xinghua Street, Wu Zhong Qu, Su Zhou Shi, Jiang Su Sheng, China, 215121</t>
    <phoneticPr fontId="1" type="noConversion"/>
  </si>
  <si>
    <t>https://www.google.com/maps/search/?api=1&amp;query=CINOS%28C2%29%20%EB%8C%80%ED%95%9C%EB%AF%BC%EA%B5%AD%20%EA%B2%BD%EA%B8%B0%EB%8F%84%20%ED%99%94%EC%84%B1%EC%8B%9C%20%ED%96%A5%EB%82%A8%EC%9D%8D%20%EA%B5%AC%EB%AC%B8%EC%B2%9C%EB%A6%AC%20930-17</t>
    <phoneticPr fontId="1" type="noConversion"/>
  </si>
  <si>
    <t>https://www.google.com/maps/search/?api=1&amp;query=SJI%20SAIGON%2035%2C%20%C4%90%C6%B0%E1%BB%9Dng%20%C4%90%E1%BB%93ng%20Kh%E1%BB%9Fi%2C%20th%C3%A0nh%20ph%E1%BB%91%20Bi%C3%AAn%20H%C3%B2a%2C%20%C4%90%E1%BB%93ng%20Nai%2C%20Vietnam</t>
    <phoneticPr fontId="1" type="noConversion"/>
  </si>
  <si>
    <t>https://www.google.com/maps/search/?api=1&amp;query=SJI%20SAIGON%2035%20%C4%90.%20%C4%90%E1%BB%93ng%20Kh%E1%BB%9Fi%2C%20T%C3%A2n%20Hi%E1%BB%87p%2C%20Bi%C3%AAn%20H%C3%B2a%2C%20%C4%90%E1%BB%93ng%20Nai%20810000%20%EB%B2%A0%ED%8A%B8%EB%82%A8</t>
    <phoneticPr fontId="1" type="noConversion"/>
  </si>
  <si>
    <t>XR4R+PHW, Tran Bien, Dong Nai City, Vietnam</t>
    <phoneticPr fontId="1" type="noConversion"/>
  </si>
  <si>
    <r>
      <t xml:space="preserve">35 </t>
    </r>
    <r>
      <rPr>
        <sz val="10"/>
        <color theme="1" tint="0.249977111117893"/>
        <rFont val="Calibri"/>
        <family val="2"/>
      </rPr>
      <t>Đ</t>
    </r>
    <r>
      <rPr>
        <sz val="10"/>
        <color theme="1" tint="0.249977111117893"/>
        <rFont val="맑은 고딕"/>
        <family val="3"/>
        <charset val="129"/>
        <scheme val="minor"/>
      </rPr>
      <t xml:space="preserve">. </t>
    </r>
    <r>
      <rPr>
        <sz val="10"/>
        <color theme="1" tint="0.249977111117893"/>
        <rFont val="Calibri"/>
        <family val="2"/>
      </rPr>
      <t>Đồ</t>
    </r>
    <r>
      <rPr>
        <sz val="10"/>
        <color theme="1" tint="0.249977111117893"/>
        <rFont val="맑은 고딕"/>
        <family val="3"/>
        <charset val="129"/>
        <scheme val="minor"/>
      </rPr>
      <t>ng Kh</t>
    </r>
    <r>
      <rPr>
        <sz val="10"/>
        <color theme="1" tint="0.249977111117893"/>
        <rFont val="Calibri"/>
        <family val="2"/>
      </rPr>
      <t>ở</t>
    </r>
    <r>
      <rPr>
        <sz val="10"/>
        <color theme="1" tint="0.249977111117893"/>
        <rFont val="맑은 고딕"/>
        <family val="3"/>
        <charset val="129"/>
        <scheme val="minor"/>
      </rPr>
      <t>i, Tân Hi</t>
    </r>
    <r>
      <rPr>
        <sz val="10"/>
        <color theme="1" tint="0.249977111117893"/>
        <rFont val="Calibri"/>
        <family val="2"/>
      </rPr>
      <t>ệ</t>
    </r>
    <r>
      <rPr>
        <sz val="10"/>
        <color theme="1" tint="0.249977111117893"/>
        <rFont val="맑은 고딕"/>
        <family val="3"/>
        <charset val="129"/>
        <scheme val="minor"/>
      </rPr>
      <t xml:space="preserve">p, Biên Hòa, </t>
    </r>
    <r>
      <rPr>
        <sz val="10"/>
        <color theme="1" tint="0.249977111117893"/>
        <rFont val="Calibri"/>
        <family val="2"/>
      </rPr>
      <t>Đồ</t>
    </r>
    <r>
      <rPr>
        <sz val="10"/>
        <color theme="1" tint="0.249977111117893"/>
        <rFont val="맑은 고딕"/>
        <family val="3"/>
        <charset val="129"/>
        <scheme val="minor"/>
      </rPr>
      <t>ng Nai 810000 베트남</t>
    </r>
    <phoneticPr fontId="1" type="noConversion"/>
  </si>
  <si>
    <t>https://www.google.com/maps/place/?q=place_id:ChIJyZyNn1YPNTERIb6KZczsFVE</t>
    <phoneticPr fontId="1" type="noConversion"/>
  </si>
  <si>
    <t>https://www.google.com/maps/place/?q=place_id:ChIJLdXaZtoNNTERiTzFefw_X7o</t>
    <phoneticPr fontId="1" type="noConversion"/>
  </si>
  <si>
    <t>https://www.google.com/maps/search/?api=1&amp;query=%E5%A4%A9%E6%B0%B4%E5%8D%8E%E5%A4%A9%E7%A7%91%E6%8A%80%E8%82%A1%E4%BB%BD%E6%9C%89%E9%99%90%E5%85%AC%E5%8F%B8%20%E7%A7%A6%E5%B7%9E%E5%8C%BA%E5%A4%A9%E6%B0%B4%E9%83%A1%E8%A1%97%E9%81%93%E7%A7%A6%E5%B7%9E%E5%A4%A7%E9%81%93360%E5%8F%B7%20%20%E5%A4%A9%E6%B0%B4%20%20741001%20CN</t>
    <phoneticPr fontId="1" type="noConversion"/>
  </si>
  <si>
    <t>https://www.google.com/maps/search/?api=1&amp;query=SHINHAN%20DIAMOND%28XI%27AN%29%20CO.%2CLTD.%204R26%2BH2%20%EC%A4%91%EA%B5%AD%20Shaanxi%2C%20%EC%8B%9C%EC%95%88%20%EC%8B%9C%20%EC%B0%BD%EC%95%88%20%EA%B5%AC</t>
    <phoneticPr fontId="1" type="noConversion"/>
  </si>
  <si>
    <t>SHINHAN DIAMOND(XI'AN) CO.,LTD.</t>
    <phoneticPr fontId="1" type="noConversion"/>
  </si>
  <si>
    <t>4R26+H2 중국 Shaanxi, 시안 시 창안 구</t>
    <phoneticPr fontId="1" type="noConversion"/>
  </si>
  <si>
    <t>https://www.google.com/maps/search/?api=1&amp;query=SUZHOU%20POSTEL%20CO.%2CLTD%20%E5%B7%A5%E4%B8%9A%E5%9B%AD%E5%8C%BA%E5%88%A9%E8%BE%BE%E8%B7%AF4%E5%8F%B7%20%20%20%20%20%E6%B1%9F%E8%8B%8F%E7%9C%81%E8%8B%8F%E5%B7%9E%E5%B8%82</t>
    <phoneticPr fontId="1" type="noConversion"/>
  </si>
  <si>
    <r>
      <t>工</t>
    </r>
    <r>
      <rPr>
        <sz val="10"/>
        <color theme="1" tint="0.249977111117893"/>
        <rFont val="Microsoft JhengHei"/>
        <family val="2"/>
        <charset val="136"/>
      </rPr>
      <t>业园区</t>
    </r>
    <r>
      <rPr>
        <sz val="10"/>
        <color theme="1" tint="0.249977111117893"/>
        <rFont val="맑은 고딕"/>
        <family val="3"/>
        <charset val="129"/>
        <scheme val="minor"/>
      </rPr>
      <t>利</t>
    </r>
    <r>
      <rPr>
        <sz val="10"/>
        <color theme="1" tint="0.249977111117893"/>
        <rFont val="Yu Gothic"/>
        <family val="2"/>
        <charset val="128"/>
      </rPr>
      <t>达</t>
    </r>
    <r>
      <rPr>
        <sz val="10"/>
        <color theme="1" tint="0.249977111117893"/>
        <rFont val="맑은 고딕"/>
        <family val="3"/>
        <charset val="129"/>
        <scheme val="minor"/>
      </rPr>
      <t>路4</t>
    </r>
    <r>
      <rPr>
        <sz val="10"/>
        <color theme="1" tint="0.249977111117893"/>
        <rFont val="Noto Sans KR"/>
        <family val="3"/>
        <charset val="129"/>
      </rPr>
      <t>号</t>
    </r>
    <r>
      <rPr>
        <sz val="10"/>
        <color theme="1" tint="0.249977111117893"/>
        <rFont val="맑은 고딕"/>
        <family val="3"/>
        <charset val="129"/>
        <scheme val="minor"/>
      </rPr>
      <t xml:space="preserve">     江</t>
    </r>
    <r>
      <rPr>
        <sz val="10"/>
        <color theme="1" tint="0.249977111117893"/>
        <rFont val="Microsoft JhengHei"/>
        <family val="2"/>
        <charset val="136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省</t>
    </r>
    <r>
      <rPr>
        <sz val="10"/>
        <color theme="1" tint="0.249977111117893"/>
        <rFont val="Microsoft JhengHei"/>
        <family val="2"/>
        <charset val="136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州市</t>
    </r>
    <phoneticPr fontId="1" type="noConversion"/>
  </si>
  <si>
    <t>https://www.google.com/maps/place/?q=place_id:ChIJuX97ykp5ezURvoBAfyo8OvE</t>
    <phoneticPr fontId="1" type="noConversion"/>
  </si>
  <si>
    <t>https://www.google.com/maps/place/?q=place_id:ChIJyUh-z12ZszURvqkpBlxLceE</t>
    <phoneticPr fontId="1" type="noConversion"/>
  </si>
  <si>
    <r>
      <t>相城</t>
    </r>
    <r>
      <rPr>
        <sz val="10"/>
        <color theme="1" tint="0.249977111117893"/>
        <rFont val="Noto Sans KR"/>
        <family val="3"/>
        <charset val="129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>望亭</t>
    </r>
    <r>
      <rPr>
        <sz val="10"/>
        <color theme="1" tint="0.249977111117893"/>
        <rFont val="Microsoft JhengHei"/>
        <family val="2"/>
        <charset val="136"/>
      </rPr>
      <t>镇问</t>
    </r>
    <r>
      <rPr>
        <sz val="10"/>
        <color theme="1" tint="0.249977111117893"/>
        <rFont val="맑은 고딕"/>
        <family val="3"/>
        <charset val="129"/>
        <scheme val="minor"/>
      </rPr>
      <t>渡路88</t>
    </r>
    <r>
      <rPr>
        <sz val="10"/>
        <color theme="1" tint="0.249977111117893"/>
        <rFont val="Noto Sans KR"/>
        <family val="3"/>
        <charset val="129"/>
      </rPr>
      <t>号</t>
    </r>
    <r>
      <rPr>
        <sz val="10"/>
        <color theme="1" tint="0.249977111117893"/>
        <rFont val="맑은 고딕"/>
        <family val="3"/>
        <charset val="129"/>
        <scheme val="minor"/>
      </rPr>
      <t xml:space="preserve">  </t>
    </r>
    <r>
      <rPr>
        <sz val="10"/>
        <color theme="1" tint="0.249977111117893"/>
        <rFont val="Microsoft JhengHei"/>
        <family val="2"/>
        <charset val="136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  215155 CN</t>
    </r>
    <phoneticPr fontId="1" type="noConversion"/>
  </si>
  <si>
    <t>소계</t>
    <phoneticPr fontId="1" type="noConversion"/>
  </si>
  <si>
    <t>검증 완료</t>
    <phoneticPr fontId="1" type="noConversion"/>
  </si>
  <si>
    <t>확인 필요</t>
    <phoneticPr fontId="1" type="noConversion"/>
  </si>
  <si>
    <t>실패</t>
    <phoneticPr fontId="1" type="noConversion"/>
  </si>
  <si>
    <t>Pasadena, CA, USA</t>
    <phoneticPr fontId="1" type="noConversion"/>
  </si>
  <si>
    <t>PO BOX 100257 PASADENA CA</t>
    <phoneticPr fontId="1" type="noConversion"/>
  </si>
  <si>
    <t>https://www.google.com/maps/search/?api=1&amp;query=%E8%8B%8F%E5%B7%9E%E6%96%B0%E7%89%B9%E5%BC%8F%E5%8D%8A%E5%AF%BC%E4%BD%93%E6%9C%89%E9%99%90%E5%85%AC%E5%8F%B8%20%E5%B7%A5%E4%B8%9A%E5%9B%AD%E5%8C%BA%E5%94%AF%E4%BA%AD%E9%95%87%E6%98%A5%E8%BE%89%E8%B7%AF2%E5%8F%B7%20%20%E8%8B%8F%E5%B7%9E%20%20215122%20CN</t>
    <phoneticPr fontId="1" type="noConversion"/>
  </si>
  <si>
    <r>
      <t>工</t>
    </r>
    <r>
      <rPr>
        <sz val="10"/>
        <color theme="1" tint="0.249977111117893"/>
        <rFont val="Microsoft JhengHei"/>
        <family val="2"/>
        <charset val="136"/>
      </rPr>
      <t>业园区</t>
    </r>
    <r>
      <rPr>
        <sz val="10"/>
        <color theme="1" tint="0.249977111117893"/>
        <rFont val="맑은 고딕"/>
        <family val="3"/>
        <charset val="129"/>
        <scheme val="minor"/>
      </rPr>
      <t>唯亭</t>
    </r>
    <r>
      <rPr>
        <sz val="10"/>
        <color theme="1" tint="0.249977111117893"/>
        <rFont val="Microsoft JhengHei"/>
        <family val="2"/>
        <charset val="136"/>
      </rPr>
      <t>镇</t>
    </r>
    <r>
      <rPr>
        <sz val="10"/>
        <color theme="1" tint="0.249977111117893"/>
        <rFont val="맑은 고딕"/>
        <family val="3"/>
        <charset val="129"/>
        <scheme val="minor"/>
      </rPr>
      <t>春</t>
    </r>
    <r>
      <rPr>
        <sz val="10"/>
        <color theme="1" tint="0.249977111117893"/>
        <rFont val="Microsoft JhengHei"/>
        <family val="2"/>
        <charset val="136"/>
      </rPr>
      <t>辉</t>
    </r>
    <r>
      <rPr>
        <sz val="10"/>
        <color theme="1" tint="0.249977111117893"/>
        <rFont val="맑은 고딕"/>
        <family val="3"/>
        <charset val="129"/>
        <scheme val="minor"/>
      </rPr>
      <t>路2</t>
    </r>
    <r>
      <rPr>
        <sz val="10"/>
        <color theme="1" tint="0.249977111117893"/>
        <rFont val="Noto Sans KR"/>
        <family val="3"/>
        <charset val="129"/>
      </rPr>
      <t>号</t>
    </r>
    <r>
      <rPr>
        <sz val="10"/>
        <color theme="1" tint="0.249977111117893"/>
        <rFont val="맑은 고딕"/>
        <family val="3"/>
        <charset val="129"/>
        <scheme val="minor"/>
      </rPr>
      <t xml:space="preserve">  </t>
    </r>
    <r>
      <rPr>
        <sz val="10"/>
        <color theme="1" tint="0.249977111117893"/>
        <rFont val="Microsoft JhengHei"/>
        <family val="2"/>
        <charset val="136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  215122 CN</t>
    </r>
    <phoneticPr fontId="1" type="noConversion"/>
  </si>
  <si>
    <t>https://www.google.com/maps/search/?api=1&amp;query=Dinnoteck%20Co.%2CLtd.%209F</t>
    <phoneticPr fontId="1" type="noConversion"/>
  </si>
  <si>
    <t>Note</t>
    <phoneticPr fontId="1" type="noConversion"/>
  </si>
  <si>
    <t>표준 주소 기반 URL</t>
    <phoneticPr fontId="1" type="noConversion"/>
  </si>
  <si>
    <t>기존 URL이 더 정확</t>
    <phoneticPr fontId="1" type="noConversion"/>
  </si>
  <si>
    <t>표준 주소 URL이 더 정확 (기존 주소에 "베트남" 노이즈 존재하기 때문)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</si>
</sst>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0"/>
      <color theme="1" tint="0.249977111117893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color theme="1" tint="0.249977111117893"/>
      <name val="Microsoft JhengHei"/>
      <family val="2"/>
      <charset val="136"/>
    </font>
    <font>
      <sz val="10"/>
      <color theme="1" tint="0.249977111117893"/>
      <name val="Calibri"/>
      <family val="2"/>
    </font>
    <font>
      <sz val="10"/>
      <color theme="1" tint="0.249977111117893"/>
      <name val="Noto Sans KR"/>
      <family val="3"/>
      <charset val="129"/>
    </font>
    <font>
      <sz val="10"/>
      <color theme="1" tint="0.249977111117893"/>
      <name val="Yu Gothic"/>
      <family val="2"/>
      <charset val="128"/>
    </font>
    <font>
      <u/>
      <sz val="10"/>
      <color theme="1" tint="0.249977111117893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6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medium">
        <color theme="1" tint="0.49998474074526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medium">
        <color theme="1" tint="0.499984740745262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9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0" xfId="0" quotePrefix="1" applyFont="1"/>
    <xf numFmtId="0" fontId="4" fillId="3" borderId="1" xfId="0" applyFont="1" applyFill="1" applyBorder="1"/>
    <xf numFmtId="0" fontId="11" fillId="0" borderId="1" xfId="1" applyFont="1" applyBorder="1"/>
    <xf numFmtId="0" fontId="11" fillId="3" borderId="1" xfId="1" applyFont="1" applyFill="1" applyBorder="1"/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2" fillId="4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quotePrefix="1" applyFont="1" applyAlignment="1">
      <alignment vertical="center"/>
    </xf>
    <xf numFmtId="0" fontId="3" fillId="0" borderId="0" xfId="0" applyFont="1" applyAlignment="1">
      <alignment vertical="center"/>
    </xf>
    <xf numFmtId="0" fontId="2" fillId="4" borderId="0" xfId="0" applyFont="1" applyFill="1" applyAlignment="1">
      <alignment vertic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5" borderId="1" xfId="0" applyFont="1" applyFill="1" applyBorder="1"/>
    <xf numFmtId="0" fontId="4" fillId="5" borderId="1" xfId="0" applyFont="1" applyFill="1" applyBorder="1" applyAlignment="1">
      <alignment horizontal="center"/>
    </xf>
    <xf numFmtId="0" fontId="11" fillId="5" borderId="1" xfId="1" applyFont="1" applyFill="1" applyBorder="1"/>
    <xf numFmtId="0" fontId="11" fillId="0" borderId="0" xfId="1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11" fillId="5" borderId="0" xfId="1" applyFont="1" applyFill="1" applyAlignment="1">
      <alignment horizontal="center"/>
    </xf>
    <xf numFmtId="0" fontId="11" fillId="3" borderId="0" xfId="1" applyFont="1" applyFill="1" applyAlignment="1">
      <alignment horizontal="center"/>
    </xf>
    <xf numFmtId="0" fontId="4" fillId="0" borderId="0" xfId="0" applyFont="1" applyAlignment="1">
      <alignment horizontal="center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CW%20QUERETARO%20MEXICO%20SA%20DE%20CV%20RHH5%2B52%2C%20El%20Puerto%2C%20Quer%C3%A9taro%2C%20Mexico%2C%2076215" TargetMode="External"/><Relationship Id="rId13" Type="http://schemas.openxmlformats.org/officeDocument/2006/relationships/hyperlink" Target="https://www.google.com/maps/search/?api=1&amp;query=SJI%20SAIGON%2035%20%C4%90.%20%C4%90%E1%BB%93ng%20Kh%E1%BB%9Fi%2C%20T%C3%A2n%20Hi%E1%BB%87p%2C%20Bi%C3%AAn%20H%C3%B2a%2C%20%C4%90%E1%BB%93ng%20Nai%20810000%20%EB%B2%A0%ED%8A%B8%EB%82%A8" TargetMode="External"/><Relationship Id="rId18" Type="http://schemas.openxmlformats.org/officeDocument/2006/relationships/hyperlink" Target="https://www.google.com/maps/place/?q=place_id:ChIJuX97ykp5ezURvoBAfyo8OvE" TargetMode="External"/><Relationship Id="rId3" Type="http://schemas.openxmlformats.org/officeDocument/2006/relationships/hyperlink" Target="https://www.google.com/maps/search/?api=1&amp;query=CINOS%28CX1%2CCX2%29%20%EC%A4%91%EA%B5%AD%20Shan%20Xi%20Sheng%2C%20Xi%20An%20Shi%2C%20Ba%20Qiao%20Qu%2C%20%E4%BA%9A%E6%B4%B2%E9%81%9393WF%2B8X9%20%E9%82%AE%E6%94%BF%E7%BC%96%E7%A0%81%3A%20710027" TargetMode="External"/><Relationship Id="rId21" Type="http://schemas.openxmlformats.org/officeDocument/2006/relationships/hyperlink" Target="https://www.google.com/maps/search/?api=1&amp;query=SJI%20SAIGON%20XR4R%2BPHW%2C%20Tran%20Bien%2C%20Dong%20Nai%20City%2C%20Vietnam" TargetMode="External"/><Relationship Id="rId7" Type="http://schemas.openxmlformats.org/officeDocument/2006/relationships/hyperlink" Target="https://www.google.com/maps/search/?api=1&amp;query=Solstice%20Electronic%20Materials%20-%20Spokane%20PO%20BOX%20100257%20PASADENA%20CA" TargetMode="External"/><Relationship Id="rId12" Type="http://schemas.openxmlformats.org/officeDocument/2006/relationships/hyperlink" Target="https://www.google.com/maps/search/?api=1&amp;query=SJI%20SAIGON%2035%2C%20%C4%90%C6%B0%E1%BB%9Dng%20%C4%90%E1%BB%93ng%20Kh%E1%BB%9Fi%2C%20th%C3%A0nh%20ph%E1%BB%91%20Bi%C3%AAn%20H%C3%B2a%2C%20%C4%90%E1%BB%93ng%20Nai%2C%20Vietnam" TargetMode="External"/><Relationship Id="rId17" Type="http://schemas.openxmlformats.org/officeDocument/2006/relationships/hyperlink" Target="https://www.google.com/maps/search/?api=1&amp;query=SUZHOU%20POSTEL%20CO.%2CLTD%20%E5%B7%A5%E4%B8%9A%E5%9B%AD%E5%8C%BA%E5%88%A9%E8%BE%BE%E8%B7%AF4%E5%8F%B7%20%20%20%20%20%E6%B1%9F%E8%8B%8F%E7%9C%81%E8%8B%8F%E5%B7%9E%E5%B8%82" TargetMode="External"/><Relationship Id="rId2" Type="http://schemas.openxmlformats.org/officeDocument/2006/relationships/hyperlink" Target="https://www.google.com/maps/search/?api=1&amp;query=Honeywell%20Automation%20and%20Control%20Solution%28China%29%20Co.%2CLtd.%20FUTE%20NORTH%20ROAD%20NO.456%205F%20A2%20ROOM%20SHANGHAI%20PILOT%20FREE%20TRADE%20ZONE" TargetMode="External"/><Relationship Id="rId16" Type="http://schemas.openxmlformats.org/officeDocument/2006/relationships/hyperlink" Target="https://www.google.com/maps/search/?api=1&amp;query=SHINHAN%20DIAMOND%28XI%27AN%29%20CO.%2CLTD.%204R26%2BH2%20%EC%A4%91%EA%B5%AD%20Shaanxi%2C%20%EC%8B%9C%EC%95%88%20%EC%8B%9C%20%EC%B0%BD%EC%95%88%20%EA%B5%AC" TargetMode="External"/><Relationship Id="rId20" Type="http://schemas.openxmlformats.org/officeDocument/2006/relationships/hyperlink" Target="https://www.google.com/maps/search/?api=1&amp;query=SJI%20SAIGON%2035%20%C4%90.%20%C4%90%E1%BB%93ng%20Kh%E1%BB%9Fi%2C%20T%C3%A2n%20Tri%E1%BB%81u%2C%20%C4%90%E1%BB%93ng%20Nai%2C%20Vietnam" TargetMode="External"/><Relationship Id="rId1" Type="http://schemas.openxmlformats.org/officeDocument/2006/relationships/hyperlink" Target="https://www.google.com/maps/place/?q=place_id:ChIJmegxpsmdszURxrpKRCsOcA8" TargetMode="External"/><Relationship Id="rId6" Type="http://schemas.openxmlformats.org/officeDocument/2006/relationships/hyperlink" Target="https://www.google.com/maps/search/?api=1&amp;query=CINOS%28C1%29%20%EB%8C%80%ED%95%9C%EB%AF%BC%EA%B5%AD%20%EA%B2%BD%EA%B8%B0%EB%8F%84%20%ED%99%94%EC%84%B1%EC%8B%9C%20%ED%8C%94%ED%83%84%EB%A9%B4%20%EA%B0%80%EC%9E%AC%EB%A6%AC%20299-2" TargetMode="External"/><Relationship Id="rId11" Type="http://schemas.openxmlformats.org/officeDocument/2006/relationships/hyperlink" Target="https://www.google.com/maps/search/?api=1&amp;query=CINOS%28C2%29%20%EB%8C%80%ED%95%9C%EB%AF%BC%EA%B5%AD%20%EA%B2%BD%EA%B8%B0%EB%8F%84%20%ED%99%94%EC%84%B1%EC%8B%9C%20%ED%96%A5%EB%82%A8%EC%9D%8D%20%EA%B5%AC%EB%AC%B8%EC%B2%9C%EB%A6%AC%20930-17" TargetMode="External"/><Relationship Id="rId5" Type="http://schemas.openxmlformats.org/officeDocument/2006/relationships/hyperlink" Target="https://www.google.com/maps/place/?q=place_id:ChIJ83c4KwAXezURJ2oNR5ylGaY" TargetMode="External"/><Relationship Id="rId15" Type="http://schemas.openxmlformats.org/officeDocument/2006/relationships/hyperlink" Target="https://www.google.com/maps/place/?q=place_id:ChIJLdXaZtoNNTERiTzFefw_X7o" TargetMode="External"/><Relationship Id="rId23" Type="http://schemas.openxmlformats.org/officeDocument/2006/relationships/hyperlink" Target="https://www.google.com/maps/search/?api=1&amp;query=Dinnoteck%20Co.%2CLtd.%209F" TargetMode="External"/><Relationship Id="rId10" Type="http://schemas.openxmlformats.org/officeDocument/2006/relationships/hyperlink" Target="https://www.google.com/maps/place/?q=place_id:ChIJ99jhXa2pszURVhN82bFMSDI" TargetMode="External"/><Relationship Id="rId19" Type="http://schemas.openxmlformats.org/officeDocument/2006/relationships/hyperlink" Target="https://www.google.com/maps/place/?q=place_id:ChIJyUh-z12ZszURvqkpBlxLceE" TargetMode="External"/><Relationship Id="rId4" Type="http://schemas.openxmlformats.org/officeDocument/2006/relationships/hyperlink" Target="https://www.google.com/maps/place/?q=place_id:ChIJsTtJC6y4QIYRSI2XSZdeW3Q" TargetMode="External"/><Relationship Id="rId9" Type="http://schemas.openxmlformats.org/officeDocument/2006/relationships/hyperlink" Target="https://www.google.com/maps/place/?q=place_id:ChIJq6qqqubMSjAR7P43RFFhmpU" TargetMode="External"/><Relationship Id="rId14" Type="http://schemas.openxmlformats.org/officeDocument/2006/relationships/hyperlink" Target="https://www.google.com/maps/place/?q=place_id:ChIJyZyNn1YPNTERIb6KZczsFVE" TargetMode="External"/><Relationship Id="rId22" Type="http://schemas.openxmlformats.org/officeDocument/2006/relationships/hyperlink" Target="https://www.google.com/maps/search/?api=1&amp;query=%E8%8B%8F%E5%B7%9E%E6%96%B0%E7%89%B9%E5%BC%8F%E5%8D%8A%E5%AF%BC%E4%BD%93%E6%9C%89%E9%99%90%E5%85%AC%E5%8F%B8%20%E4%BA%AD%20%E9%95%87%2C%202%20Chun%20Hui%20Lu%2C%20Wu%20Zhong%20Qu%2C%20Su%20Zhou%20Shi%2C%20Jiang%20Su%20Sheng%2C%20China%2C%20215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showGridLines="0" tabSelected="1" zoomScale="70" zoomScaleNormal="70" workbookViewId="0"/>
  </sheetViews>
  <sheetFormatPr defaultRowHeight="16.5" outlineLevelCol="1" x14ac:dyDescent="0.3"/>
  <cols>
    <col min="1" max="1" width="19.625" style="1" customWidth="1"/>
    <col min="2" max="2" width="10.75" style="1" customWidth="1"/>
    <col min="3" max="3" width="10.625" style="1" customWidth="1"/>
    <col min="4" max="4" width="26.75" style="1" customWidth="1"/>
    <col min="5" max="5" width="18" style="1" customWidth="1"/>
    <col min="6" max="6" width="36" style="1" customWidth="1"/>
    <col min="7" max="7" width="10.875" style="1" customWidth="1"/>
    <col min="8" max="8" width="24" style="1" customWidth="1"/>
    <col min="9" max="9" width="27.125" style="1" customWidth="1"/>
    <col min="10" max="12" width="9" style="1" hidden="1" customWidth="1" outlineLevel="1"/>
    <col min="13" max="13" width="17.625" style="1" customWidth="1" collapsed="1"/>
    <col min="14" max="14" width="17.375" style="28" customWidth="1"/>
    <col min="15" max="15" width="0.875" style="1" hidden="1" customWidth="1"/>
    <col min="16" max="19" width="9" style="1"/>
    <col min="21" max="16384" width="9" style="1"/>
  </cols>
  <sheetData>
    <row r="1" spans="1:18" s="13" customFormat="1" ht="13.5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1" t="s">
        <v>229</v>
      </c>
      <c r="O1" s="10" t="s">
        <v>13</v>
      </c>
      <c r="P1" s="12" t="s">
        <v>185</v>
      </c>
      <c r="Q1" s="14" t="s">
        <v>220</v>
      </c>
      <c r="R1" s="9">
        <f>ROWS(G2:G25)</f>
        <v>24</v>
      </c>
    </row>
    <row r="2" spans="1:18" x14ac:dyDescent="0.3">
      <c r="A2" s="2" t="s">
        <v>188</v>
      </c>
      <c r="B2" s="2" t="s">
        <v>14</v>
      </c>
      <c r="C2" s="2" t="s">
        <v>15</v>
      </c>
      <c r="D2" s="2" t="s">
        <v>186</v>
      </c>
      <c r="E2" s="2" t="s">
        <v>16</v>
      </c>
      <c r="F2" s="2" t="s">
        <v>169</v>
      </c>
      <c r="G2" s="7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  <c r="M2" s="5" t="s">
        <v>187</v>
      </c>
      <c r="N2" s="24" t="s">
        <v>185</v>
      </c>
      <c r="O2" s="2" t="s">
        <v>170</v>
      </c>
      <c r="P2" s="3" t="s">
        <v>185</v>
      </c>
      <c r="Q2" s="15" t="s">
        <v>221</v>
      </c>
      <c r="R2" s="16">
        <f>COUNTIF(G2:G25, "검증 완료")</f>
        <v>11</v>
      </c>
    </row>
    <row r="3" spans="1:18" x14ac:dyDescent="0.3">
      <c r="A3" s="2" t="s">
        <v>189</v>
      </c>
      <c r="B3" s="2" t="s">
        <v>14</v>
      </c>
      <c r="C3" s="2" t="s">
        <v>23</v>
      </c>
      <c r="D3" s="2" t="s">
        <v>190</v>
      </c>
      <c r="E3" s="2" t="s">
        <v>24</v>
      </c>
      <c r="F3" s="2" t="s">
        <v>25</v>
      </c>
      <c r="G3" s="7" t="s">
        <v>26</v>
      </c>
      <c r="H3" s="2" t="s">
        <v>27</v>
      </c>
      <c r="I3" s="2" t="s">
        <v>28</v>
      </c>
      <c r="J3" s="2" t="s">
        <v>29</v>
      </c>
      <c r="K3" s="2" t="s">
        <v>30</v>
      </c>
      <c r="L3" s="2"/>
      <c r="M3" s="5" t="s">
        <v>191</v>
      </c>
      <c r="N3" s="24" t="s">
        <v>185</v>
      </c>
      <c r="O3" s="2" t="s">
        <v>31</v>
      </c>
      <c r="P3" s="3" t="s">
        <v>185</v>
      </c>
      <c r="Q3" s="17" t="s">
        <v>222</v>
      </c>
      <c r="R3" s="18">
        <f>COUNTIF(G2:G25, "확인 필요")</f>
        <v>12</v>
      </c>
    </row>
    <row r="4" spans="1:18" ht="17.25" thickBot="1" x14ac:dyDescent="0.35">
      <c r="A4" s="2" t="s">
        <v>32</v>
      </c>
      <c r="B4" s="2" t="s">
        <v>14</v>
      </c>
      <c r="C4" s="2" t="s">
        <v>33</v>
      </c>
      <c r="D4" s="2" t="s">
        <v>192</v>
      </c>
      <c r="E4" s="2" t="s">
        <v>32</v>
      </c>
      <c r="F4" s="2" t="s">
        <v>171</v>
      </c>
      <c r="G4" s="7" t="s">
        <v>26</v>
      </c>
      <c r="H4" s="2" t="s">
        <v>27</v>
      </c>
      <c r="I4" s="2" t="s">
        <v>28</v>
      </c>
      <c r="J4" s="2" t="s">
        <v>34</v>
      </c>
      <c r="K4" s="2" t="s">
        <v>35</v>
      </c>
      <c r="L4" s="2"/>
      <c r="M4" s="5" t="s">
        <v>193</v>
      </c>
      <c r="N4" s="24" t="s">
        <v>185</v>
      </c>
      <c r="O4" s="2" t="s">
        <v>172</v>
      </c>
      <c r="P4" s="3" t="s">
        <v>185</v>
      </c>
      <c r="Q4" s="19" t="s">
        <v>223</v>
      </c>
      <c r="R4" s="20">
        <f>COUNTIF(G2:G25, "실패")</f>
        <v>1</v>
      </c>
    </row>
    <row r="5" spans="1:18" x14ac:dyDescent="0.3">
      <c r="A5" s="2" t="s">
        <v>36</v>
      </c>
      <c r="B5" s="2" t="s">
        <v>37</v>
      </c>
      <c r="C5" s="2" t="s">
        <v>38</v>
      </c>
      <c r="D5" s="2" t="s">
        <v>194</v>
      </c>
      <c r="E5" s="2" t="s">
        <v>36</v>
      </c>
      <c r="F5" s="2" t="s">
        <v>39</v>
      </c>
      <c r="G5" s="7" t="s">
        <v>17</v>
      </c>
      <c r="H5" s="2" t="s">
        <v>18</v>
      </c>
      <c r="I5" s="2" t="s">
        <v>19</v>
      </c>
      <c r="J5" s="2" t="s">
        <v>40</v>
      </c>
      <c r="K5" s="2" t="s">
        <v>41</v>
      </c>
      <c r="L5" s="2" t="s">
        <v>42</v>
      </c>
      <c r="M5" s="5" t="s">
        <v>195</v>
      </c>
      <c r="N5" s="24" t="s">
        <v>185</v>
      </c>
      <c r="O5" s="2" t="s">
        <v>43</v>
      </c>
      <c r="P5" s="3" t="s">
        <v>185</v>
      </c>
    </row>
    <row r="6" spans="1:18" x14ac:dyDescent="0.3">
      <c r="A6" s="2" t="s">
        <v>44</v>
      </c>
      <c r="B6" s="2" t="s">
        <v>45</v>
      </c>
      <c r="C6" s="2" t="s">
        <v>46</v>
      </c>
      <c r="D6" s="2" t="s">
        <v>47</v>
      </c>
      <c r="E6" s="2" t="s">
        <v>44</v>
      </c>
      <c r="F6" s="2" t="s">
        <v>48</v>
      </c>
      <c r="G6" s="7" t="s">
        <v>17</v>
      </c>
      <c r="H6" s="2" t="s">
        <v>49</v>
      </c>
      <c r="I6" s="2" t="s">
        <v>50</v>
      </c>
      <c r="J6" s="2" t="s">
        <v>51</v>
      </c>
      <c r="K6" s="2" t="s">
        <v>52</v>
      </c>
      <c r="L6" s="2" t="s">
        <v>53</v>
      </c>
      <c r="M6" s="5" t="s">
        <v>196</v>
      </c>
      <c r="N6" s="24" t="s">
        <v>185</v>
      </c>
      <c r="O6" s="2" t="s">
        <v>54</v>
      </c>
      <c r="P6" s="3" t="s">
        <v>185</v>
      </c>
    </row>
    <row r="7" spans="1:18" x14ac:dyDescent="0.3">
      <c r="A7" s="2" t="s">
        <v>55</v>
      </c>
      <c r="B7" s="2" t="s">
        <v>45</v>
      </c>
      <c r="C7" s="2" t="s">
        <v>46</v>
      </c>
      <c r="D7" s="2" t="s">
        <v>56</v>
      </c>
      <c r="E7" s="2" t="s">
        <v>55</v>
      </c>
      <c r="F7" s="2" t="s">
        <v>57</v>
      </c>
      <c r="G7" s="7" t="s">
        <v>26</v>
      </c>
      <c r="H7" s="2" t="s">
        <v>27</v>
      </c>
      <c r="I7" s="2" t="s">
        <v>28</v>
      </c>
      <c r="J7" s="2" t="s">
        <v>58</v>
      </c>
      <c r="K7" s="2" t="s">
        <v>59</v>
      </c>
      <c r="L7" s="2"/>
      <c r="M7" s="5" t="s">
        <v>197</v>
      </c>
      <c r="N7" s="24" t="s">
        <v>185</v>
      </c>
      <c r="O7" s="2" t="s">
        <v>60</v>
      </c>
      <c r="P7" s="3" t="s">
        <v>185</v>
      </c>
    </row>
    <row r="8" spans="1:18" x14ac:dyDescent="0.3">
      <c r="A8" s="2" t="s">
        <v>199</v>
      </c>
      <c r="B8" s="2" t="s">
        <v>37</v>
      </c>
      <c r="C8" s="2" t="s">
        <v>62</v>
      </c>
      <c r="D8" s="2" t="s">
        <v>225</v>
      </c>
      <c r="E8" s="2" t="s">
        <v>61</v>
      </c>
      <c r="F8" s="2" t="s">
        <v>224</v>
      </c>
      <c r="G8" s="7" t="s">
        <v>26</v>
      </c>
      <c r="H8" s="2" t="s">
        <v>27</v>
      </c>
      <c r="I8" s="2" t="s">
        <v>28</v>
      </c>
      <c r="J8" s="2" t="s">
        <v>63</v>
      </c>
      <c r="K8" s="2" t="s">
        <v>64</v>
      </c>
      <c r="L8" s="2"/>
      <c r="M8" s="5" t="s">
        <v>198</v>
      </c>
      <c r="N8" s="24" t="s">
        <v>185</v>
      </c>
      <c r="O8" s="2" t="s">
        <v>65</v>
      </c>
      <c r="P8" s="3" t="s">
        <v>185</v>
      </c>
    </row>
    <row r="9" spans="1:18" x14ac:dyDescent="0.3">
      <c r="A9" s="2" t="s">
        <v>66</v>
      </c>
      <c r="B9" s="2" t="s">
        <v>67</v>
      </c>
      <c r="C9" s="2" t="s">
        <v>68</v>
      </c>
      <c r="D9" s="2" t="s">
        <v>69</v>
      </c>
      <c r="E9" s="2" t="s">
        <v>66</v>
      </c>
      <c r="F9" s="2" t="s">
        <v>70</v>
      </c>
      <c r="G9" s="7" t="s">
        <v>26</v>
      </c>
      <c r="H9" s="2" t="s">
        <v>27</v>
      </c>
      <c r="I9" s="2" t="s">
        <v>28</v>
      </c>
      <c r="J9" s="2" t="s">
        <v>71</v>
      </c>
      <c r="K9" s="2" t="s">
        <v>72</v>
      </c>
      <c r="L9" s="2"/>
      <c r="M9" s="5" t="s">
        <v>200</v>
      </c>
      <c r="N9" s="24" t="s">
        <v>185</v>
      </c>
      <c r="O9" s="2" t="s">
        <v>73</v>
      </c>
      <c r="P9" s="3" t="s">
        <v>185</v>
      </c>
    </row>
    <row r="10" spans="1:18" x14ac:dyDescent="0.3">
      <c r="A10" s="2" t="s">
        <v>74</v>
      </c>
      <c r="B10" s="2" t="s">
        <v>75</v>
      </c>
      <c r="C10" s="2" t="s">
        <v>76</v>
      </c>
      <c r="D10" s="2" t="s">
        <v>77</v>
      </c>
      <c r="E10" s="2" t="s">
        <v>74</v>
      </c>
      <c r="F10" s="2" t="s">
        <v>78</v>
      </c>
      <c r="G10" s="7" t="s">
        <v>17</v>
      </c>
      <c r="H10" s="2" t="s">
        <v>79</v>
      </c>
      <c r="I10" s="2" t="s">
        <v>80</v>
      </c>
      <c r="J10" s="2"/>
      <c r="K10" s="2"/>
      <c r="L10" s="2" t="s">
        <v>81</v>
      </c>
      <c r="M10" s="5" t="s">
        <v>201</v>
      </c>
      <c r="N10" s="24" t="s">
        <v>185</v>
      </c>
      <c r="O10" s="2" t="s">
        <v>82</v>
      </c>
      <c r="P10" s="3" t="s">
        <v>185</v>
      </c>
    </row>
    <row r="11" spans="1:18" x14ac:dyDescent="0.3">
      <c r="A11" s="2" t="s">
        <v>83</v>
      </c>
      <c r="B11" s="2" t="s">
        <v>14</v>
      </c>
      <c r="C11" s="2" t="s">
        <v>84</v>
      </c>
      <c r="D11" s="2" t="s">
        <v>203</v>
      </c>
      <c r="E11" s="2" t="s">
        <v>83</v>
      </c>
      <c r="F11" s="2" t="s">
        <v>85</v>
      </c>
      <c r="G11" s="7" t="s">
        <v>17</v>
      </c>
      <c r="H11" s="2" t="s">
        <v>79</v>
      </c>
      <c r="I11" s="2" t="s">
        <v>86</v>
      </c>
      <c r="J11" s="2"/>
      <c r="K11" s="2"/>
      <c r="L11" s="2" t="s">
        <v>87</v>
      </c>
      <c r="M11" s="5" t="s">
        <v>202</v>
      </c>
      <c r="N11" s="24" t="s">
        <v>185</v>
      </c>
      <c r="O11" s="2" t="s">
        <v>88</v>
      </c>
      <c r="P11" s="3" t="s">
        <v>185</v>
      </c>
    </row>
    <row r="12" spans="1:18" x14ac:dyDescent="0.3">
      <c r="A12" s="2" t="s">
        <v>89</v>
      </c>
      <c r="B12" s="2" t="s">
        <v>45</v>
      </c>
      <c r="C12" s="2" t="s">
        <v>46</v>
      </c>
      <c r="D12" s="2" t="s">
        <v>90</v>
      </c>
      <c r="E12" s="2" t="s">
        <v>89</v>
      </c>
      <c r="F12" s="2" t="s">
        <v>91</v>
      </c>
      <c r="G12" s="7" t="s">
        <v>26</v>
      </c>
      <c r="H12" s="2" t="s">
        <v>27</v>
      </c>
      <c r="I12" s="2" t="s">
        <v>28</v>
      </c>
      <c r="J12" s="2" t="s">
        <v>92</v>
      </c>
      <c r="K12" s="2" t="s">
        <v>93</v>
      </c>
      <c r="L12" s="2"/>
      <c r="M12" s="5" t="s">
        <v>204</v>
      </c>
      <c r="N12" s="25" t="s">
        <v>185</v>
      </c>
      <c r="O12" s="2" t="s">
        <v>94</v>
      </c>
      <c r="P12" s="3" t="s">
        <v>185</v>
      </c>
    </row>
    <row r="13" spans="1:18" x14ac:dyDescent="0.3">
      <c r="A13" s="21" t="s">
        <v>95</v>
      </c>
      <c r="B13" s="21" t="s">
        <v>96</v>
      </c>
      <c r="C13" s="21" t="s">
        <v>97</v>
      </c>
      <c r="D13" s="21" t="s">
        <v>173</v>
      </c>
      <c r="E13" s="21" t="s">
        <v>95</v>
      </c>
      <c r="F13" s="21" t="s">
        <v>98</v>
      </c>
      <c r="G13" s="22" t="s">
        <v>26</v>
      </c>
      <c r="H13" s="21" t="s">
        <v>27</v>
      </c>
      <c r="I13" s="21" t="s">
        <v>28</v>
      </c>
      <c r="J13" s="21" t="s">
        <v>99</v>
      </c>
      <c r="K13" s="21" t="s">
        <v>100</v>
      </c>
      <c r="L13" s="21"/>
      <c r="M13" s="23" t="s">
        <v>205</v>
      </c>
      <c r="N13" s="26" t="s">
        <v>230</v>
      </c>
      <c r="O13" s="21" t="s">
        <v>174</v>
      </c>
      <c r="P13" s="3" t="s">
        <v>231</v>
      </c>
    </row>
    <row r="14" spans="1:18" x14ac:dyDescent="0.3">
      <c r="A14" s="4" t="s">
        <v>95</v>
      </c>
      <c r="B14" s="4" t="s">
        <v>96</v>
      </c>
      <c r="C14" s="4" t="s">
        <v>97</v>
      </c>
      <c r="D14" s="4" t="s">
        <v>208</v>
      </c>
      <c r="E14" s="4" t="s">
        <v>95</v>
      </c>
      <c r="F14" s="4" t="s">
        <v>207</v>
      </c>
      <c r="G14" s="8" t="s">
        <v>26</v>
      </c>
      <c r="H14" s="4" t="s">
        <v>27</v>
      </c>
      <c r="I14" s="4" t="s">
        <v>28</v>
      </c>
      <c r="J14" s="4" t="s">
        <v>101</v>
      </c>
      <c r="K14" s="4" t="s">
        <v>102</v>
      </c>
      <c r="L14" s="4"/>
      <c r="M14" s="6" t="s">
        <v>206</v>
      </c>
      <c r="N14" s="27" t="s">
        <v>230</v>
      </c>
      <c r="O14" s="4" t="s">
        <v>103</v>
      </c>
      <c r="P14" s="3" t="s">
        <v>232</v>
      </c>
    </row>
    <row r="15" spans="1:18" x14ac:dyDescent="0.3">
      <c r="A15" s="2" t="s">
        <v>104</v>
      </c>
      <c r="B15" s="2" t="s">
        <v>96</v>
      </c>
      <c r="C15" s="2" t="s">
        <v>105</v>
      </c>
      <c r="D15" s="2" t="s">
        <v>106</v>
      </c>
      <c r="E15" s="2" t="s">
        <v>107</v>
      </c>
      <c r="F15" s="2" t="s">
        <v>108</v>
      </c>
      <c r="G15" s="7" t="s">
        <v>17</v>
      </c>
      <c r="H15" s="2" t="s">
        <v>18</v>
      </c>
      <c r="I15" s="2" t="s">
        <v>19</v>
      </c>
      <c r="J15" s="2" t="s">
        <v>109</v>
      </c>
      <c r="K15" s="2" t="s">
        <v>110</v>
      </c>
      <c r="L15" s="2" t="s">
        <v>111</v>
      </c>
      <c r="M15" s="5" t="s">
        <v>209</v>
      </c>
      <c r="N15" s="24" t="s">
        <v>185</v>
      </c>
      <c r="O15" s="2" t="s">
        <v>112</v>
      </c>
      <c r="P15" s="3" t="s">
        <v>185</v>
      </c>
    </row>
    <row r="16" spans="1:18" x14ac:dyDescent="0.3">
      <c r="A16" s="2" t="s">
        <v>113</v>
      </c>
      <c r="B16" s="2" t="s">
        <v>96</v>
      </c>
      <c r="C16" s="2" t="s">
        <v>114</v>
      </c>
      <c r="D16" s="2" t="s">
        <v>175</v>
      </c>
      <c r="E16" s="2" t="s">
        <v>115</v>
      </c>
      <c r="F16" s="2" t="s">
        <v>116</v>
      </c>
      <c r="G16" s="7" t="s">
        <v>17</v>
      </c>
      <c r="H16" s="2" t="s">
        <v>79</v>
      </c>
      <c r="I16" s="2" t="s">
        <v>80</v>
      </c>
      <c r="J16" s="2"/>
      <c r="K16" s="2"/>
      <c r="L16" s="2" t="s">
        <v>117</v>
      </c>
      <c r="M16" s="5" t="s">
        <v>210</v>
      </c>
      <c r="N16" s="24" t="s">
        <v>185</v>
      </c>
      <c r="O16" s="2" t="s">
        <v>118</v>
      </c>
      <c r="P16" s="3" t="s">
        <v>185</v>
      </c>
    </row>
    <row r="17" spans="1:16" x14ac:dyDescent="0.3">
      <c r="A17" s="2" t="s">
        <v>176</v>
      </c>
      <c r="B17" s="2" t="s">
        <v>14</v>
      </c>
      <c r="C17" s="2" t="s">
        <v>119</v>
      </c>
      <c r="D17" s="2" t="s">
        <v>177</v>
      </c>
      <c r="E17" s="2" t="s">
        <v>178</v>
      </c>
      <c r="F17" s="2" t="s">
        <v>120</v>
      </c>
      <c r="G17" s="7" t="s">
        <v>26</v>
      </c>
      <c r="H17" s="2" t="s">
        <v>27</v>
      </c>
      <c r="I17" s="2" t="s">
        <v>28</v>
      </c>
      <c r="J17" s="2" t="s">
        <v>121</v>
      </c>
      <c r="K17" s="2" t="s">
        <v>122</v>
      </c>
      <c r="L17" s="2"/>
      <c r="M17" s="2" t="s">
        <v>211</v>
      </c>
      <c r="N17" s="24" t="s">
        <v>185</v>
      </c>
      <c r="O17" s="2" t="s">
        <v>123</v>
      </c>
      <c r="P17" s="3" t="s">
        <v>185</v>
      </c>
    </row>
    <row r="18" spans="1:16" ht="17.25" x14ac:dyDescent="0.35">
      <c r="A18" s="21" t="s">
        <v>179</v>
      </c>
      <c r="B18" s="21" t="s">
        <v>14</v>
      </c>
      <c r="C18" s="21" t="s">
        <v>15</v>
      </c>
      <c r="D18" s="21" t="s">
        <v>227</v>
      </c>
      <c r="E18" s="21" t="s">
        <v>180</v>
      </c>
      <c r="F18" s="21" t="s">
        <v>181</v>
      </c>
      <c r="G18" s="22" t="s">
        <v>26</v>
      </c>
      <c r="H18" s="21" t="s">
        <v>27</v>
      </c>
      <c r="I18" s="21" t="s">
        <v>28</v>
      </c>
      <c r="J18" s="21" t="s">
        <v>124</v>
      </c>
      <c r="K18" s="21" t="s">
        <v>125</v>
      </c>
      <c r="L18" s="21"/>
      <c r="M18" s="21" t="s">
        <v>226</v>
      </c>
      <c r="N18" s="26" t="s">
        <v>230</v>
      </c>
      <c r="O18" s="21" t="s">
        <v>182</v>
      </c>
      <c r="P18" s="3" t="s">
        <v>231</v>
      </c>
    </row>
    <row r="19" spans="1:16" x14ac:dyDescent="0.3">
      <c r="A19" s="2" t="s">
        <v>126</v>
      </c>
      <c r="B19" s="2" t="s">
        <v>45</v>
      </c>
      <c r="C19" s="2" t="s">
        <v>127</v>
      </c>
      <c r="D19" s="2" t="s">
        <v>128</v>
      </c>
      <c r="E19" s="2" t="s">
        <v>129</v>
      </c>
      <c r="F19" s="2" t="s">
        <v>130</v>
      </c>
      <c r="G19" s="7" t="s">
        <v>17</v>
      </c>
      <c r="H19" s="2" t="s">
        <v>18</v>
      </c>
      <c r="I19" s="2" t="s">
        <v>131</v>
      </c>
      <c r="J19" s="2" t="s">
        <v>132</v>
      </c>
      <c r="K19" s="2" t="s">
        <v>133</v>
      </c>
      <c r="L19" s="2" t="s">
        <v>134</v>
      </c>
      <c r="M19" s="2" t="s">
        <v>135</v>
      </c>
      <c r="N19" s="25" t="s">
        <v>185</v>
      </c>
      <c r="O19" s="2" t="s">
        <v>136</v>
      </c>
      <c r="P19" s="3" t="s">
        <v>185</v>
      </c>
    </row>
    <row r="20" spans="1:16" x14ac:dyDescent="0.3">
      <c r="A20" s="2" t="s">
        <v>137</v>
      </c>
      <c r="B20" s="2" t="s">
        <v>45</v>
      </c>
      <c r="C20" s="2" t="s">
        <v>138</v>
      </c>
      <c r="D20" s="2" t="s">
        <v>139</v>
      </c>
      <c r="E20" s="2" t="s">
        <v>140</v>
      </c>
      <c r="F20" s="2"/>
      <c r="G20" s="7" t="s">
        <v>141</v>
      </c>
      <c r="H20" s="2" t="s">
        <v>142</v>
      </c>
      <c r="I20" s="2" t="s">
        <v>143</v>
      </c>
      <c r="J20" s="2"/>
      <c r="K20" s="2"/>
      <c r="L20" s="2"/>
      <c r="M20" s="5" t="s">
        <v>228</v>
      </c>
      <c r="N20" s="24" t="s">
        <v>185</v>
      </c>
      <c r="O20" s="2"/>
      <c r="P20" s="3" t="s">
        <v>185</v>
      </c>
    </row>
    <row r="21" spans="1:16" x14ac:dyDescent="0.3">
      <c r="A21" s="2" t="s">
        <v>213</v>
      </c>
      <c r="B21" s="2" t="s">
        <v>14</v>
      </c>
      <c r="C21" s="2" t="s">
        <v>33</v>
      </c>
      <c r="D21" s="2" t="s">
        <v>214</v>
      </c>
      <c r="E21" s="2" t="s">
        <v>144</v>
      </c>
      <c r="F21" s="2" t="s">
        <v>145</v>
      </c>
      <c r="G21" s="7" t="s">
        <v>26</v>
      </c>
      <c r="H21" s="2" t="s">
        <v>27</v>
      </c>
      <c r="I21" s="2" t="s">
        <v>28</v>
      </c>
      <c r="J21" s="2" t="s">
        <v>146</v>
      </c>
      <c r="K21" s="2" t="s">
        <v>147</v>
      </c>
      <c r="L21" s="2"/>
      <c r="M21" s="5" t="s">
        <v>212</v>
      </c>
      <c r="N21" s="24" t="s">
        <v>185</v>
      </c>
      <c r="O21" s="2" t="s">
        <v>148</v>
      </c>
      <c r="P21" s="3" t="s">
        <v>185</v>
      </c>
    </row>
    <row r="22" spans="1:16" ht="17.25" x14ac:dyDescent="0.35">
      <c r="A22" s="2" t="s">
        <v>149</v>
      </c>
      <c r="B22" s="2" t="s">
        <v>14</v>
      </c>
      <c r="C22" s="2" t="s">
        <v>15</v>
      </c>
      <c r="D22" s="2" t="s">
        <v>216</v>
      </c>
      <c r="E22" s="2" t="s">
        <v>150</v>
      </c>
      <c r="F22" s="2" t="s">
        <v>151</v>
      </c>
      <c r="G22" s="7" t="s">
        <v>26</v>
      </c>
      <c r="H22" s="2" t="s">
        <v>27</v>
      </c>
      <c r="I22" s="2" t="s">
        <v>28</v>
      </c>
      <c r="J22" s="2" t="s">
        <v>152</v>
      </c>
      <c r="K22" s="2" t="s">
        <v>153</v>
      </c>
      <c r="L22" s="2"/>
      <c r="M22" s="5" t="s">
        <v>215</v>
      </c>
      <c r="N22" s="25" t="s">
        <v>185</v>
      </c>
      <c r="O22" s="2" t="s">
        <v>154</v>
      </c>
      <c r="P22" s="3" t="s">
        <v>185</v>
      </c>
    </row>
    <row r="23" spans="1:16" x14ac:dyDescent="0.3">
      <c r="A23" s="2" t="s">
        <v>126</v>
      </c>
      <c r="B23" s="2" t="s">
        <v>45</v>
      </c>
      <c r="C23" s="2" t="s">
        <v>127</v>
      </c>
      <c r="D23" s="2" t="s">
        <v>128</v>
      </c>
      <c r="E23" s="2" t="s">
        <v>129</v>
      </c>
      <c r="F23" s="2" t="s">
        <v>130</v>
      </c>
      <c r="G23" s="7" t="s">
        <v>17</v>
      </c>
      <c r="H23" s="2" t="s">
        <v>18</v>
      </c>
      <c r="I23" s="2" t="s">
        <v>131</v>
      </c>
      <c r="J23" s="2" t="s">
        <v>132</v>
      </c>
      <c r="K23" s="2" t="s">
        <v>133</v>
      </c>
      <c r="L23" s="2" t="s">
        <v>134</v>
      </c>
      <c r="M23" s="2" t="s">
        <v>135</v>
      </c>
      <c r="N23" s="25" t="s">
        <v>185</v>
      </c>
      <c r="O23" s="2" t="s">
        <v>136</v>
      </c>
      <c r="P23" s="3" t="s">
        <v>185</v>
      </c>
    </row>
    <row r="24" spans="1:16" x14ac:dyDescent="0.3">
      <c r="A24" s="2" t="s">
        <v>155</v>
      </c>
      <c r="B24" s="2" t="s">
        <v>45</v>
      </c>
      <c r="C24" s="2" t="s">
        <v>156</v>
      </c>
      <c r="D24" s="2" t="s">
        <v>157</v>
      </c>
      <c r="E24" s="2" t="s">
        <v>158</v>
      </c>
      <c r="F24" s="2" t="s">
        <v>159</v>
      </c>
      <c r="G24" s="7" t="s">
        <v>17</v>
      </c>
      <c r="H24" s="2" t="s">
        <v>49</v>
      </c>
      <c r="I24" s="2" t="s">
        <v>50</v>
      </c>
      <c r="J24" s="2" t="s">
        <v>160</v>
      </c>
      <c r="K24" s="2" t="s">
        <v>161</v>
      </c>
      <c r="L24" s="2" t="s">
        <v>162</v>
      </c>
      <c r="M24" s="5" t="s">
        <v>217</v>
      </c>
      <c r="N24" s="25" t="s">
        <v>185</v>
      </c>
      <c r="O24" s="2" t="s">
        <v>163</v>
      </c>
      <c r="P24" s="3" t="s">
        <v>185</v>
      </c>
    </row>
    <row r="25" spans="1:16" ht="17.25" x14ac:dyDescent="0.35">
      <c r="A25" s="2" t="s">
        <v>183</v>
      </c>
      <c r="B25" s="2" t="s">
        <v>14</v>
      </c>
      <c r="C25" s="2" t="s">
        <v>15</v>
      </c>
      <c r="D25" s="2" t="s">
        <v>219</v>
      </c>
      <c r="E25" s="2" t="s">
        <v>184</v>
      </c>
      <c r="F25" s="2" t="s">
        <v>164</v>
      </c>
      <c r="G25" s="7" t="s">
        <v>17</v>
      </c>
      <c r="H25" s="2" t="s">
        <v>49</v>
      </c>
      <c r="I25" s="2" t="s">
        <v>50</v>
      </c>
      <c r="J25" s="2" t="s">
        <v>165</v>
      </c>
      <c r="K25" s="2" t="s">
        <v>166</v>
      </c>
      <c r="L25" s="2" t="s">
        <v>167</v>
      </c>
      <c r="M25" s="5" t="s">
        <v>218</v>
      </c>
      <c r="N25" s="24" t="s">
        <v>185</v>
      </c>
      <c r="O25" s="2" t="s">
        <v>168</v>
      </c>
      <c r="P25" s="3" t="s">
        <v>185</v>
      </c>
    </row>
  </sheetData>
  <phoneticPr fontId="1" type="noConversion"/>
  <hyperlinks>
    <hyperlink ref="M2" r:id="rId1" xr:uid="{01F3126C-5033-4D1B-ABFF-EEF97129AC76}"/>
    <hyperlink ref="M3" r:id="rId2" xr:uid="{A7055419-E79E-4CBC-A202-05399053B087}"/>
    <hyperlink ref="M4" r:id="rId3" xr:uid="{F3B0E007-3B43-4BCC-9949-5C11C403134A}"/>
    <hyperlink ref="M5" r:id="rId4" xr:uid="{999AC293-3D40-4AB3-B4EA-E67A2556AB58}"/>
    <hyperlink ref="M6" r:id="rId5" xr:uid="{4688541E-D7B6-44C2-ABC0-37232FD5A8A7}"/>
    <hyperlink ref="M7" r:id="rId6" xr:uid="{12CF4247-E1A6-4A1D-A14E-567A2F45A9A0}"/>
    <hyperlink ref="M8" r:id="rId7" xr:uid="{4FA9A1AA-00DA-479F-9781-93D97E6176F7}"/>
    <hyperlink ref="M9" r:id="rId8" xr:uid="{26F5F92A-B04A-4D07-96FD-98D64DDF2862}"/>
    <hyperlink ref="M10" r:id="rId9" xr:uid="{EA884498-0E71-4462-B0F3-D4FAE8044621}"/>
    <hyperlink ref="M11" r:id="rId10" xr:uid="{097A061D-68E0-4603-9DC1-7E86CC3589EE}"/>
    <hyperlink ref="M12" r:id="rId11" xr:uid="{AE8FCC60-C4EC-447E-BA26-E55D9AE385B1}"/>
    <hyperlink ref="M13" r:id="rId12" xr:uid="{82D6C92F-840F-47F7-A18D-FAAD69232411}"/>
    <hyperlink ref="M14" r:id="rId13" xr:uid="{74F1534B-C3D1-4970-89D7-CF564D35C9B0}"/>
    <hyperlink ref="M15" r:id="rId14" xr:uid="{B5D56787-7D04-435F-B779-94E2799F7E2E}"/>
    <hyperlink ref="M16" r:id="rId15" xr:uid="{4EFF21D8-5C4A-462E-A04A-7101D400D6F7}"/>
    <hyperlink ref="M21" r:id="rId16" xr:uid="{673D600D-BCB1-4BCE-908B-487F7038A83B}"/>
    <hyperlink ref="M22" r:id="rId17" xr:uid="{18446812-D600-4639-9977-C3F20E0F69D2}"/>
    <hyperlink ref="M24" r:id="rId18" xr:uid="{1E85C778-CC5A-4CD7-87C6-A74DD025AE63}"/>
    <hyperlink ref="M25" r:id="rId19" xr:uid="{6105E02F-B630-4551-B5C3-E456C174B474}"/>
    <hyperlink ref="N13" r:id="rId20" xr:uid="{6049BA2C-9CAB-4936-B3B9-3F1DA8326989}"/>
    <hyperlink ref="N14" r:id="rId21" xr:uid="{3213736F-3861-4A51-98F9-F6363E67A41D}"/>
    <hyperlink ref="N18" r:id="rId22" xr:uid="{6176C163-6265-48DD-AB18-741988B09CA4}"/>
    <hyperlink ref="M20" r:id="rId23" xr:uid="{3D5850BA-A4C9-4B3F-9953-3E2FEB06CC2A}"/>
  </hyperlink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TF_std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Jeong, Seok Jun</cp:lastModifiedBy>
  <dcterms:created xsi:type="dcterms:W3CDTF">2026-09-22T08:47:16Z</dcterms:created>
  <dcterms:modified xsi:type="dcterms:W3CDTF">2026-09-22T13:12:43Z</dcterms:modified>
</cp:coreProperties>
</file>